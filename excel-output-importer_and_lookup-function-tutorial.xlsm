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nmader\Documents\GitHub\excel-output-importer\"/>
    </mc:Choice>
  </mc:AlternateContent>
  <bookViews>
    <workbookView xWindow="120" yWindow="120" windowWidth="15270" windowHeight="7290" tabRatio="821" activeTab="1"/>
  </bookViews>
  <sheets>
    <sheet name="Lookup Functions Tutorial" sheetId="17" r:id="rId1"/>
    <sheet name="Control Room" sheetId="15" r:id="rId2"/>
  </sheets>
  <functionGroups builtInGroupCount="18"/>
  <definedNames>
    <definedName name="data" localSheetId="0">'Lookup Functions Tutorial'!$A$3:$C$12</definedName>
    <definedName name="data_header" localSheetId="0">'Lookup Functions Tutorial'!$A$3:$C$3</definedName>
    <definedName name="ExtList">'Control Room'!$F$2:$F$39</definedName>
    <definedName name="FileList">'Control Room'!$B$2:$B$39</definedName>
    <definedName name="FtoC_conv" localSheetId="0">'Lookup Functions Tutorial'!$E$26</definedName>
    <definedName name="HideList">'Control Room'!$J$2:$J$39</definedName>
    <definedName name="ImportList">'Control Room'!$G$2:$G$39</definedName>
    <definedName name="PathList">'Control Room'!$A$2:$A$39</definedName>
    <definedName name="RangeNameList">'Control Room'!$I$2:$I$39</definedName>
    <definedName name="RenameList">'Control Room'!$D$2:$D$39</definedName>
    <definedName name="ReplaceList">'Control Room'!$H$2:$H$39</definedName>
    <definedName name="SecCode1" localSheetId="0">'Lookup Functions Tutorial'!$F$100:$I$107</definedName>
    <definedName name="SecCode1_Color" localSheetId="0">'Lookup Functions Tutorial'!$F$100:$F$107</definedName>
    <definedName name="SecCode1_h" localSheetId="0">'Lookup Functions Tutorial'!$F$100:$I$100</definedName>
    <definedName name="SecCode2" localSheetId="0">'Lookup Functions Tutorial'!$K$100:$N$107</definedName>
    <definedName name="SecCode2_Color" localSheetId="0">'Lookup Functions Tutorial'!$K$100:$K$107</definedName>
    <definedName name="SecCode2_h" localSheetId="0">'Lookup Functions Tutorial'!$K$100:$N$100</definedName>
    <definedName name="SheetList">'Control Room'!$C$2:$C$39</definedName>
    <definedName name="Technical_To_Do">'Control Room'!$B$42</definedName>
    <definedName name="TestData" localSheetId="0">'Lookup Functions Tutorial'!$A$3:$C$12</definedName>
    <definedName name="TestData_header" localSheetId="0">'Lookup Functions Tutorial'!$A$3:$C$3</definedName>
    <definedName name="TestData_ID" localSheetId="0">'Lookup Functions Tutorial'!$D$3:$D$12</definedName>
  </definedNames>
  <calcPr calcId="152511"/>
</workbook>
</file>

<file path=xl/calcChain.xml><?xml version="1.0" encoding="utf-8"?>
<calcChain xmlns="http://schemas.openxmlformats.org/spreadsheetml/2006/main">
  <c r="D4" i="17" l="1"/>
  <c r="C82" i="17" s="1"/>
  <c r="D5" i="17"/>
  <c r="D6" i="17"/>
  <c r="B7" i="17"/>
  <c r="B10" i="17" s="1"/>
  <c r="D10" i="17" s="1"/>
  <c r="D7" i="17"/>
  <c r="B8" i="17"/>
  <c r="D8" i="17" s="1"/>
  <c r="B9" i="17"/>
  <c r="D9" i="17" s="1"/>
  <c r="B12" i="17"/>
  <c r="D12" i="17" s="1"/>
  <c r="A16" i="17"/>
  <c r="A19" i="17"/>
  <c r="A21" i="17"/>
  <c r="A23" i="17"/>
  <c r="A24" i="17"/>
  <c r="E26" i="17"/>
  <c r="C27" i="17" s="1"/>
  <c r="C28" i="17"/>
  <c r="A39" i="17"/>
  <c r="A41" i="17"/>
  <c r="C54" i="17"/>
  <c r="G54" i="17"/>
  <c r="H54" i="17" s="1"/>
  <c r="K54" i="17"/>
  <c r="L54" i="17"/>
  <c r="K55" i="17"/>
  <c r="L55" i="17"/>
  <c r="K56" i="17"/>
  <c r="L56" i="17"/>
  <c r="B63" i="17"/>
  <c r="C63" i="17"/>
  <c r="A66" i="17"/>
  <c r="C80" i="17"/>
  <c r="A85" i="17"/>
  <c r="A90" i="17"/>
  <c r="B102" i="17"/>
  <c r="C102" i="17"/>
  <c r="D63" i="17" l="1"/>
  <c r="E82" i="17"/>
  <c r="B61" i="17"/>
  <c r="D82" i="17"/>
  <c r="G55" i="17"/>
  <c r="G56" i="17" s="1"/>
  <c r="C61" i="17"/>
  <c r="C81" i="17"/>
  <c r="D61" i="17"/>
  <c r="B62" i="17"/>
  <c r="D80" i="17"/>
  <c r="E80" i="17"/>
  <c r="B11" i="17"/>
  <c r="D11" i="17" s="1"/>
  <c r="E81" i="17" s="1"/>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H55" i="17" l="1"/>
  <c r="H56" i="17" s="1"/>
  <c r="D62" i="17"/>
  <c r="C62" i="17"/>
  <c r="D81" i="17"/>
  <c r="A33" i="17"/>
</calcChain>
</file>

<file path=xl/comments1.xml><?xml version="1.0" encoding="utf-8"?>
<comments xmlns="http://schemas.openxmlformats.org/spreadsheetml/2006/main">
  <authors>
    <author>Nick</author>
  </authors>
  <commentList>
    <comment ref="A1" authorId="0" shape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shape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shape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shapeId="0">
      <text>
        <r>
          <rPr>
            <b/>
            <sz val="9"/>
            <color indexed="81"/>
            <rFont val="Tahoma"/>
            <family val="2"/>
          </rPr>
          <t>Nick:</t>
        </r>
        <r>
          <rPr>
            <sz val="9"/>
            <color indexed="81"/>
            <rFont val="Tahoma"/>
            <family val="2"/>
          </rPr>
          <t xml:space="preserve">
Valid sheet names are below 31 characters.</t>
        </r>
      </text>
    </comment>
    <comment ref="F1" authorId="0" shape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shapeId="0">
      <text>
        <r>
          <rPr>
            <b/>
            <sz val="9"/>
            <color indexed="81"/>
            <rFont val="Tahoma"/>
            <family val="2"/>
          </rPr>
          <t>Nick:</t>
        </r>
        <r>
          <rPr>
            <sz val="9"/>
            <color indexed="81"/>
            <rFont val="Tahoma"/>
            <family val="2"/>
          </rPr>
          <t xml:space="preserve">
The import function regards any non-blank character as a "yes".</t>
        </r>
      </text>
    </comment>
    <comment ref="H1" authorId="0" shapeId="0">
      <text>
        <r>
          <rPr>
            <b/>
            <sz val="9"/>
            <color indexed="81"/>
            <rFont val="Tahoma"/>
            <family val="2"/>
          </rPr>
          <t>Nick:</t>
        </r>
        <r>
          <rPr>
            <sz val="9"/>
            <color indexed="81"/>
            <rFont val="Tahoma"/>
            <family val="2"/>
          </rPr>
          <t xml:space="preserve">
The import function regards any non-blank character as a "yes".</t>
        </r>
      </text>
    </comment>
    <comment ref="J1" authorId="0" shape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<sst xmlns="http://schemas.openxmlformats.org/spreadsheetml/2006/main" count="192" uniqueCount="144">
  <si>
    <t>Path</t>
  </si>
  <si>
    <t>Filename</t>
  </si>
  <si>
    <t>Sheet Name</t>
  </si>
  <si>
    <t>x</t>
  </si>
  <si>
    <t>New Name</t>
  </si>
  <si>
    <t>Hide?</t>
  </si>
  <si>
    <t>Import?</t>
  </si>
  <si>
    <t>.csv</t>
  </si>
  <si>
    <t>Ext</t>
  </si>
  <si>
    <t>Replace?</t>
  </si>
  <si>
    <t>Col to Range Name</t>
  </si>
  <si>
    <t>Length</t>
  </si>
  <si>
    <t>C:\MyPath</t>
  </si>
  <si>
    <t>MyFileName</t>
  </si>
  <si>
    <t>&lt;use if importing Excel sheets&gt;</t>
  </si>
  <si>
    <t>&lt;optional, but helpful if filename is &gt; 31 chars&gt;</t>
  </si>
  <si>
    <t>&lt;name of column with unique row ID&gt;</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</si>
  <si>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</si>
  <si>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</si>
  <si>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</si>
  <si>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</si>
  <si>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</si>
  <si>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</si>
  <si>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</si>
  <si>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</si>
  <si>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</si>
  <si>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</si>
  <si>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</si>
  <si>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</si>
  <si>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</si>
  <si>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</si>
  <si>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</si>
  <si>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</si>
  <si>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</si>
  <si>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</si>
  <si>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</si>
  <si>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</si>
  <si>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</si>
  <si>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</si>
  <si>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</si>
  <si>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</si>
  <si>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</si>
  <si>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</si>
  <si>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</si>
  <si>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</si>
  <si>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</si>
  <si>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</si>
  <si>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</si>
  <si>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</si>
  <si>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</si>
  <si>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</si>
  <si>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</si>
  <si>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</si>
  <si>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</si>
  <si>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</si>
  <si>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</si>
  <si>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</si>
  <si>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</si>
  <si>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</si>
  <si>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</si>
  <si>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</si>
  <si>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</si>
  <si>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</si>
  <si>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</si>
  <si>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</si>
  <si>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</si>
  <si>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</si>
  <si>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</si>
  <si>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</si>
  <si>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</si>
  <si>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</si>
  <si>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</si>
  <si>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</si>
  <si>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</si>
  <si>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</si>
  <si>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</si>
  <si>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</si>
  <si>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</si>
  <si>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</si>
  <si>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</si>
  <si>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</si>
  <si>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</si>
  <si>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</si>
  <si>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</si>
  <si>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</si>
  <si>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</si>
  <si>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First Test</t>
  </si>
  <si>
    <t>Second Test</t>
  </si>
  <si>
    <t>Third Test</t>
  </si>
  <si>
    <t>Excel Lookup-Functions Tutorial</t>
  </si>
  <si>
    <t>ž</t>
  </si>
  <si>
    <t>8</t>
  </si>
  <si>
    <t>}</t>
  </si>
  <si>
    <t>t</t>
  </si>
  <si>
    <t>à</t>
  </si>
  <si>
    <t>ä</t>
  </si>
  <si>
    <t>Œ</t>
  </si>
  <si>
    <t>A</t>
  </si>
  <si>
    <t>ˆ</t>
  </si>
  <si>
    <t> </t>
  </si>
  <si>
    <t>\</t>
  </si>
  <si>
    <t>É</t>
  </si>
  <si>
    <t>®</t>
  </si>
  <si>
    <t>Ž</t>
  </si>
  <si>
    <t>H</t>
  </si>
  <si>
    <t>Í</t>
  </si>
  <si>
    <t>B</t>
  </si>
  <si>
    <t>†</t>
  </si>
  <si>
    <t>Ô</t>
  </si>
  <si>
    <t>©</t>
  </si>
  <si>
    <t>o</t>
  </si>
  <si>
    <t>•</t>
  </si>
  <si>
    <t>±</t>
  </si>
  <si>
    <t>6</t>
  </si>
  <si>
    <t>ö</t>
  </si>
  <si>
    <t>u</t>
  </si>
  <si>
    <t>%</t>
  </si>
  <si>
    <t>3</t>
  </si>
  <si>
    <t>^</t>
  </si>
  <si>
    <t>¶</t>
  </si>
  <si>
    <t>¤</t>
  </si>
  <si>
    <t>»</t>
  </si>
  <si>
    <t>R</t>
  </si>
  <si>
    <t>Nick M.</t>
  </si>
  <si>
    <t>Bob G.</t>
  </si>
  <si>
    <t>Wlad W.</t>
  </si>
  <si>
    <t>Ye found me pot of gold!</t>
  </si>
  <si>
    <t>In the table above, the names on the left and test names on the top are both the names of the variables in the data (at the very top) and labels that we're happy to apply. In general, the labels you want can</t>
  </si>
  <si>
    <t>it knows how to look there.</t>
  </si>
  <si>
    <t>Circumference</t>
  </si>
  <si>
    <t>Area</t>
  </si>
  <si>
    <t>Radius</t>
  </si>
  <si>
    <t>Smartly using "$"s to fix row and column elements the way we want</t>
  </si>
  <si>
    <t>Naively copying our formula to other cells…</t>
  </si>
  <si>
    <t>Drafting our clever formula…</t>
  </si>
  <si>
    <t>(Note that range names always represent absolute references, as we might expect.)</t>
  </si>
  <si>
    <t>To fix this problem, use "$"s, strategically placed to the left of cell references that we want to keep from updating.</t>
  </si>
  <si>
    <t>However, when we copy the formula down, the updating references keep us from getting what we want. Select the various cells in the second table, and hit "F2" to visually display the referneces.</t>
  </si>
  <si>
    <t>an analog same logic we use in reading the table: calculation should be based off of the radius value on the same row, and have the calculation type of the column it's under.</t>
  </si>
  <si>
    <t>Consider the following example where we cleverly design a formula to cue off of its context in the table. This is smart--we design one formula, and (ideally) it works perfectly, using</t>
  </si>
  <si>
    <t>the reference so that the new formula has the same relative positioning.</t>
  </si>
  <si>
    <t xml:space="preserve">Excel tries to be helpful whenever it can. If a cell's formula references a neighbor, and you copy and paste that formula to another cell, Excel updates both the row and the column of </t>
  </si>
  <si>
    <t>Just like the plus sign (+) is a "binary" operator which adds two things together, an ampersand (&amp;) is a binary operator which glues two text strings together:</t>
  </si>
  <si>
    <t>it's referencing. Giving a group of cells a "range name" makes referring to tables easier, and makes formulas more transparent and readable.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</si>
</sst>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2"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b/>
      <sz val="13"/>
      <color theme="1"/>
      <name val="Arial"/>
      <family val="2"/>
    </font>
    <font>
      <b/>
      <sz val="10"/>
      <color theme="0"/>
      <name val="Arial"/>
      <family val="2"/>
    </font>
    <font>
      <b/>
      <sz val="10"/>
      <color theme="5" tint="-0.249977111117893"/>
      <name val="Arial"/>
      <family val="2"/>
    </font>
    <font>
      <b/>
      <sz val="11"/>
      <color theme="5" tint="-0.249977111117893"/>
      <name val="Arial"/>
      <family val="2"/>
    </font>
    <font>
      <sz val="10"/>
      <color rgb="FF000000"/>
      <name val="MS Sans Serif"/>
    </font>
  </fonts>
  <fills count="21">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
      <patternFill patternType="solid">
        <fgColor rgb="FF0070C0"/>
        <bgColor indexed="64"/>
      </patternFill>
    </fill>
    <fill>
      <patternFill patternType="solid">
        <fgColor rgb="FF00B050"/>
        <bgColor indexed="64"/>
      </patternFill>
    </fill>
    <fill>
      <patternFill patternType="solid">
        <fgColor rgb="FFFFFF00"/>
        <bgColor indexed="64"/>
      </patternFill>
    </fill>
    <fill>
      <patternFill patternType="solid">
        <fgColor theme="9"/>
        <bgColor indexed="64"/>
      </patternFill>
    </fill>
    <fill>
      <patternFill patternType="solid">
        <fgColor rgb="FFFF0000"/>
        <bgColor indexed="64"/>
      </patternFill>
    </fill>
    <fill>
      <patternFill patternType="solid">
        <fgColor theme="7" tint="-0.249977111117893"/>
        <bgColor indexed="64"/>
      </patternFill>
    </fill>
  </fills>
  <borders count="12">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1">
    <xf numFmtId="0" fontId="0" fillId="0" borderId="0"/>
    <xf numFmtId="0" fontId="30"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34" fillId="0" borderId="0"/>
    <xf numFmtId="0" fontId="2" fillId="0" borderId="0"/>
    <xf numFmtId="0" fontId="1" fillId="0" borderId="0"/>
  </cellStyleXfs>
  <cellXfs count="123">
    <xf numFmtId="0" fontId="0" fillId="0" borderId="0" xfId="0"/>
    <xf numFmtId="0" fontId="28" fillId="2" borderId="0" xfId="2" applyFill="1"/>
    <xf numFmtId="0" fontId="28" fillId="2" borderId="0" xfId="2" applyFill="1" applyAlignment="1">
      <alignment horizontal="left" indent="1"/>
    </xf>
    <xf numFmtId="0" fontId="28" fillId="2" borderId="0" xfId="2" applyFill="1" applyAlignment="1">
      <alignment horizontal="left" indent="2"/>
    </xf>
    <xf numFmtId="49" fontId="28" fillId="2" borderId="0" xfId="2" applyNumberFormat="1" applyFill="1" applyBorder="1"/>
    <xf numFmtId="0" fontId="28" fillId="2" borderId="0" xfId="2" quotePrefix="1" applyFill="1"/>
    <xf numFmtId="0" fontId="28" fillId="2" borderId="0" xfId="2" applyFill="1" applyAlignment="1">
      <alignment wrapText="1"/>
    </xf>
    <xf numFmtId="0" fontId="28" fillId="2" borderId="0" xfId="2" applyFill="1" applyAlignment="1">
      <alignment horizontal="left" wrapText="1"/>
    </xf>
    <xf numFmtId="0" fontId="31" fillId="4" borderId="3" xfId="2" applyFont="1" applyFill="1" applyBorder="1" applyAlignment="1">
      <alignment wrapText="1"/>
    </xf>
    <xf numFmtId="0" fontId="31" fillId="4" borderId="3" xfId="2" applyFont="1" applyFill="1" applyBorder="1" applyAlignment="1">
      <alignment horizontal="center" wrapText="1"/>
    </xf>
    <xf numFmtId="0" fontId="31" fillId="4" borderId="4" xfId="2" applyFont="1" applyFill="1" applyBorder="1" applyAlignment="1">
      <alignment horizontal="center" wrapText="1"/>
    </xf>
    <xf numFmtId="0" fontId="28" fillId="2" borderId="0" xfId="2" applyNumberFormat="1" applyFill="1"/>
    <xf numFmtId="0" fontId="31" fillId="4" borderId="3" xfId="2" applyFont="1" applyFill="1" applyBorder="1" applyAlignment="1">
      <alignment horizontal="left" wrapText="1"/>
    </xf>
    <xf numFmtId="0" fontId="28" fillId="2" borderId="0" xfId="2" applyFill="1" applyAlignment="1">
      <alignment horizontal="left"/>
    </xf>
    <xf numFmtId="0" fontId="28" fillId="2" borderId="0" xfId="2" quotePrefix="1" applyFill="1" applyAlignment="1">
      <alignment horizontal="left"/>
    </xf>
    <xf numFmtId="0" fontId="28" fillId="2" borderId="0" xfId="2" applyFill="1" applyAlignment="1">
      <alignment horizontal="center"/>
    </xf>
    <xf numFmtId="0" fontId="28" fillId="2" borderId="0" xfId="2" quotePrefix="1" applyFill="1" applyAlignment="1">
      <alignment horizontal="center"/>
    </xf>
    <xf numFmtId="0" fontId="28" fillId="3" borderId="1" xfId="2" applyFill="1" applyBorder="1" applyAlignment="1">
      <alignment wrapText="1"/>
    </xf>
    <xf numFmtId="0" fontId="28" fillId="3" borderId="1" xfId="2" applyFill="1" applyBorder="1" applyAlignment="1">
      <alignment horizontal="center" wrapText="1"/>
    </xf>
    <xf numFmtId="0" fontId="28" fillId="3" borderId="1" xfId="2" applyFill="1" applyBorder="1" applyAlignment="1">
      <alignment horizontal="left" wrapText="1"/>
    </xf>
    <xf numFmtId="0" fontId="28" fillId="3" borderId="1" xfId="2" applyFont="1" applyFill="1" applyBorder="1" applyAlignment="1">
      <alignment horizontal="center" wrapText="1"/>
    </xf>
    <xf numFmtId="0" fontId="28" fillId="3" borderId="1" xfId="2" applyFill="1" applyBorder="1" applyAlignment="1">
      <alignment vertical="center" wrapText="1"/>
    </xf>
    <xf numFmtId="0" fontId="28" fillId="3" borderId="1" xfId="2" applyFill="1" applyBorder="1" applyAlignment="1">
      <alignment horizontal="center" vertical="center" wrapText="1"/>
    </xf>
    <xf numFmtId="0" fontId="28" fillId="3" borderId="1" xfId="2" applyFill="1" applyBorder="1" applyAlignment="1">
      <alignment horizontal="left" vertical="center" wrapText="1"/>
    </xf>
    <xf numFmtId="0" fontId="28" fillId="3" borderId="1" xfId="2" applyFont="1" applyFill="1" applyBorder="1" applyAlignment="1">
      <alignment horizontal="center" vertical="center" wrapText="1"/>
    </xf>
    <xf numFmtId="0" fontId="28" fillId="2" borderId="0" xfId="2" applyFill="1" applyAlignment="1">
      <alignment vertical="center" wrapText="1"/>
    </xf>
    <xf numFmtId="0" fontId="28" fillId="3" borderId="1" xfId="2" applyFont="1" applyFill="1" applyBorder="1" applyAlignment="1">
      <alignment wrapText="1"/>
    </xf>
    <xf numFmtId="0" fontId="29" fillId="3" borderId="1" xfId="2" applyFont="1" applyFill="1" applyBorder="1" applyAlignment="1">
      <alignment horizontal="center" wrapText="1"/>
    </xf>
    <xf numFmtId="0" fontId="28" fillId="3" borderId="0" xfId="2" applyFont="1" applyFill="1" applyBorder="1" applyAlignment="1">
      <alignment horizontal="center" wrapText="1"/>
    </xf>
    <xf numFmtId="0" fontId="28" fillId="3" borderId="2" xfId="2" applyFill="1" applyBorder="1" applyAlignment="1">
      <alignment wrapText="1"/>
    </xf>
    <xf numFmtId="0" fontId="28" fillId="3" borderId="2" xfId="2" applyFill="1" applyBorder="1" applyAlignment="1">
      <alignment horizontal="center" wrapText="1"/>
    </xf>
    <xf numFmtId="0" fontId="28" fillId="3" borderId="2" xfId="2" applyFill="1" applyBorder="1" applyAlignment="1">
      <alignment horizontal="left" wrapText="1"/>
    </xf>
    <xf numFmtId="0" fontId="28" fillId="3" borderId="2" xfId="2" applyFont="1" applyFill="1" applyBorder="1" applyAlignment="1">
      <alignment horizontal="center" wrapText="1"/>
    </xf>
    <xf numFmtId="0" fontId="35" fillId="5" borderId="0" xfId="28" applyFont="1" applyFill="1" applyBorder="1"/>
    <xf numFmtId="0" fontId="36" fillId="5" borderId="0" xfId="28" applyFont="1" applyFill="1" applyBorder="1"/>
    <xf numFmtId="0" fontId="34" fillId="5" borderId="0" xfId="28" applyFill="1" applyBorder="1"/>
    <xf numFmtId="0" fontId="34" fillId="5" borderId="3" xfId="28" applyFill="1" applyBorder="1" applyAlignment="1">
      <alignment horizontal="center"/>
    </xf>
    <xf numFmtId="0" fontId="34" fillId="5" borderId="0" xfId="28" applyFont="1" applyFill="1" applyBorder="1" applyAlignment="1">
      <alignment horizontal="center"/>
    </xf>
    <xf numFmtId="0" fontId="34" fillId="5" borderId="0" xfId="28" applyFill="1" applyBorder="1" applyAlignment="1">
      <alignment horizontal="center"/>
    </xf>
    <xf numFmtId="0" fontId="37" fillId="5" borderId="0" xfId="28" applyFont="1" applyFill="1" applyBorder="1" applyAlignment="1">
      <alignment horizontal="center"/>
    </xf>
    <xf numFmtId="0" fontId="38" fillId="5" borderId="3" xfId="28" applyFont="1" applyFill="1" applyBorder="1" applyAlignment="1">
      <alignment horizontal="center"/>
    </xf>
    <xf numFmtId="0" fontId="38" fillId="5" borderId="0" xfId="28" applyFont="1" applyFill="1" applyBorder="1" applyAlignment="1">
      <alignment horizontal="center"/>
    </xf>
    <xf numFmtId="0" fontId="34" fillId="5" borderId="3" xfId="28" applyFill="1" applyBorder="1"/>
    <xf numFmtId="0" fontId="35" fillId="6" borderId="0" xfId="28" applyFont="1" applyFill="1"/>
    <xf numFmtId="0" fontId="34" fillId="6" borderId="0" xfId="28" applyFill="1"/>
    <xf numFmtId="0" fontId="34" fillId="6" borderId="0" xfId="28" applyFont="1" applyFill="1"/>
    <xf numFmtId="0" fontId="40" fillId="6" borderId="0" xfId="28" applyFont="1" applyFill="1"/>
    <xf numFmtId="0" fontId="35" fillId="5" borderId="5" xfId="28" applyFont="1" applyFill="1" applyBorder="1"/>
    <xf numFmtId="0" fontId="34" fillId="5" borderId="5" xfId="28" applyFill="1" applyBorder="1"/>
    <xf numFmtId="0" fontId="34" fillId="5" borderId="0" xfId="28" applyFont="1" applyFill="1" applyBorder="1"/>
    <xf numFmtId="0" fontId="40" fillId="5" borderId="0" xfId="28" applyFont="1" applyFill="1" applyBorder="1"/>
    <xf numFmtId="2" fontId="41" fillId="5" borderId="6" xfId="28" applyNumberFormat="1" applyFont="1" applyFill="1" applyBorder="1"/>
    <xf numFmtId="0" fontId="34" fillId="5" borderId="7" xfId="28" applyFont="1" applyFill="1" applyBorder="1"/>
    <xf numFmtId="0" fontId="34" fillId="5" borderId="7" xfId="28" applyFill="1" applyBorder="1"/>
    <xf numFmtId="0" fontId="34" fillId="5" borderId="8" xfId="28" applyFill="1" applyBorder="1"/>
    <xf numFmtId="164" fontId="37" fillId="5" borderId="0" xfId="28" applyNumberFormat="1" applyFont="1" applyFill="1" applyBorder="1" applyAlignment="1">
      <alignment horizontal="center"/>
    </xf>
    <xf numFmtId="0" fontId="35" fillId="6" borderId="0" xfId="28" applyFont="1" applyFill="1" applyAlignment="1">
      <alignment horizontal="left"/>
    </xf>
    <xf numFmtId="0" fontId="34" fillId="6" borderId="0" xfId="28" applyFill="1" applyAlignment="1">
      <alignment horizontal="left"/>
    </xf>
    <xf numFmtId="0" fontId="37" fillId="5" borderId="0" xfId="28" applyFont="1" applyFill="1" applyBorder="1"/>
    <xf numFmtId="0" fontId="40" fillId="5" borderId="0" xfId="28" applyFont="1" applyFill="1" applyBorder="1" applyAlignment="1">
      <alignment horizontal="center"/>
    </xf>
    <xf numFmtId="0" fontId="34" fillId="5" borderId="0" xfId="28" applyFill="1"/>
    <xf numFmtId="0" fontId="34" fillId="5" borderId="0" xfId="28" applyFont="1" applyFill="1" applyBorder="1" applyAlignment="1">
      <alignment horizontal="left"/>
    </xf>
    <xf numFmtId="0" fontId="34" fillId="5" borderId="0" xfId="28" applyFont="1" applyFill="1" applyBorder="1" applyAlignment="1">
      <alignment horizontal="left" indent="1"/>
    </xf>
    <xf numFmtId="0" fontId="34" fillId="5" borderId="0" xfId="28" applyFill="1" applyBorder="1" applyAlignment="1">
      <alignment horizontal="left"/>
    </xf>
    <xf numFmtId="0" fontId="34" fillId="5" borderId="3" xfId="28" applyFill="1" applyBorder="1" applyAlignment="1">
      <alignment horizontal="left"/>
    </xf>
    <xf numFmtId="0" fontId="35" fillId="6" borderId="0" xfId="28" applyFont="1" applyFill="1" applyBorder="1" applyAlignment="1">
      <alignment horizontal="left"/>
    </xf>
    <xf numFmtId="0" fontId="34" fillId="6" borderId="0" xfId="28" applyFill="1" applyBorder="1"/>
    <xf numFmtId="0" fontId="34" fillId="6" borderId="0" xfId="28" applyFont="1" applyFill="1" applyBorder="1" applyAlignment="1">
      <alignment horizontal="left"/>
    </xf>
    <xf numFmtId="0" fontId="34" fillId="7" borderId="0" xfId="28" applyFill="1" applyBorder="1"/>
    <xf numFmtId="0" fontId="34" fillId="6" borderId="0" xfId="28" applyFont="1" applyFill="1" applyBorder="1" applyAlignment="1">
      <alignment horizontal="left" indent="1"/>
    </xf>
    <xf numFmtId="0" fontId="34" fillId="6" borderId="3" xfId="28" applyFont="1" applyFill="1" applyBorder="1" applyAlignment="1">
      <alignment horizontal="left"/>
    </xf>
    <xf numFmtId="0" fontId="34" fillId="6" borderId="3" xfId="28" applyFill="1" applyBorder="1"/>
    <xf numFmtId="0" fontId="39" fillId="5" borderId="0" xfId="28" applyFont="1" applyFill="1" applyBorder="1" applyAlignment="1">
      <alignment horizontal="left"/>
    </xf>
    <xf numFmtId="0" fontId="34" fillId="5" borderId="0" xfId="28" applyFill="1" applyBorder="1" applyAlignment="1">
      <alignment wrapText="1"/>
    </xf>
    <xf numFmtId="0" fontId="34" fillId="5" borderId="0" xfId="28" applyFont="1" applyFill="1" applyBorder="1" applyAlignment="1">
      <alignment horizontal="centerContinuous" wrapText="1"/>
    </xf>
    <xf numFmtId="0" fontId="34" fillId="5" borderId="0" xfId="28" applyFill="1" applyBorder="1" applyAlignment="1">
      <alignment horizontal="centerContinuous" wrapText="1"/>
    </xf>
    <xf numFmtId="0" fontId="36" fillId="5" borderId="0" xfId="28" applyFont="1" applyFill="1" applyBorder="1" applyAlignment="1">
      <alignment horizontal="centerContinuous"/>
    </xf>
    <xf numFmtId="0" fontId="34" fillId="5" borderId="0" xfId="28" applyFont="1" applyFill="1" applyBorder="1" applyAlignment="1">
      <alignment horizontal="centerContinuous"/>
    </xf>
    <xf numFmtId="0" fontId="34" fillId="5" borderId="3" xfId="28" applyFont="1" applyFill="1" applyBorder="1"/>
    <xf numFmtId="0" fontId="34" fillId="5" borderId="3" xfId="28" applyFont="1" applyFill="1" applyBorder="1" applyAlignment="1">
      <alignment horizontal="center"/>
    </xf>
    <xf numFmtId="0" fontId="43" fillId="5" borderId="3" xfId="28" applyFont="1" applyFill="1" applyBorder="1" applyAlignment="1">
      <alignment horizontal="center"/>
    </xf>
    <xf numFmtId="0" fontId="35" fillId="6" borderId="5" xfId="28" applyFont="1" applyFill="1" applyBorder="1" applyAlignment="1">
      <alignment horizontal="left"/>
    </xf>
    <xf numFmtId="0" fontId="34" fillId="6" borderId="5" xfId="28" applyFill="1" applyBorder="1"/>
    <xf numFmtId="0" fontId="34" fillId="6" borderId="0" xfId="28" applyFill="1" applyBorder="1" applyAlignment="1">
      <alignment horizontal="left"/>
    </xf>
    <xf numFmtId="0" fontId="34" fillId="8" borderId="0" xfId="28" applyFill="1" applyBorder="1"/>
    <xf numFmtId="0" fontId="37" fillId="9" borderId="0" xfId="28" applyFont="1" applyFill="1" applyBorder="1"/>
    <xf numFmtId="0" fontId="34" fillId="10" borderId="0" xfId="28" applyFill="1" applyBorder="1"/>
    <xf numFmtId="0" fontId="34" fillId="11" borderId="0" xfId="28" applyFill="1" applyBorder="1"/>
    <xf numFmtId="0" fontId="34" fillId="12" borderId="3" xfId="28" applyFill="1" applyBorder="1"/>
    <xf numFmtId="0" fontId="34" fillId="0" borderId="0" xfId="28" applyFill="1"/>
    <xf numFmtId="0" fontId="34" fillId="0" borderId="0" xfId="28"/>
    <xf numFmtId="0" fontId="36" fillId="5" borderId="0" xfId="28" applyFont="1" applyFill="1" applyBorder="1" applyAlignment="1">
      <alignment horizontal="center"/>
    </xf>
    <xf numFmtId="0" fontId="38" fillId="5" borderId="6" xfId="28" applyFont="1" applyFill="1" applyBorder="1" applyAlignment="1">
      <alignment horizontal="center"/>
    </xf>
    <xf numFmtId="0" fontId="38" fillId="5" borderId="7" xfId="28" applyFont="1" applyFill="1" applyBorder="1" applyAlignment="1">
      <alignment horizontal="center"/>
    </xf>
    <xf numFmtId="0" fontId="38" fillId="5" borderId="8" xfId="28" applyFont="1" applyFill="1" applyBorder="1" applyAlignment="1">
      <alignment horizontal="center"/>
    </xf>
    <xf numFmtId="0" fontId="38" fillId="5" borderId="9" xfId="28" applyFont="1" applyFill="1" applyBorder="1" applyAlignment="1">
      <alignment horizontal="center"/>
    </xf>
    <xf numFmtId="0" fontId="38" fillId="5" borderId="10" xfId="28" applyFont="1" applyFill="1" applyBorder="1" applyAlignment="1">
      <alignment horizontal="center"/>
    </xf>
    <xf numFmtId="0" fontId="38" fillId="5" borderId="11" xfId="28" applyFont="1" applyFill="1" applyBorder="1" applyAlignment="1">
      <alignment horizontal="center"/>
    </xf>
    <xf numFmtId="0" fontId="38" fillId="5" borderId="4" xfId="28" applyFont="1" applyFill="1" applyBorder="1" applyAlignment="1">
      <alignment horizontal="center"/>
    </xf>
    <xf numFmtId="0" fontId="34" fillId="6" borderId="0" xfId="28" applyFill="1" applyBorder="1" applyAlignment="1">
      <alignment horizontal="center"/>
    </xf>
    <xf numFmtId="0" fontId="44" fillId="6" borderId="0" xfId="28" applyFont="1" applyFill="1" applyBorder="1" applyAlignment="1">
      <alignment horizontal="center"/>
    </xf>
    <xf numFmtId="0" fontId="34" fillId="6" borderId="4" xfId="28" applyFill="1" applyBorder="1"/>
    <xf numFmtId="0" fontId="34" fillId="6" borderId="10" xfId="28" applyFill="1" applyBorder="1"/>
    <xf numFmtId="0" fontId="34" fillId="14" borderId="0" xfId="28" applyFill="1"/>
    <xf numFmtId="0" fontId="34" fillId="13" borderId="0" xfId="28" applyFill="1" applyBorder="1"/>
    <xf numFmtId="0" fontId="34" fillId="15" borderId="0" xfId="28" applyFill="1" applyBorder="1"/>
    <xf numFmtId="0" fontId="34" fillId="16" borderId="0" xfId="28" applyFill="1" applyBorder="1"/>
    <xf numFmtId="0" fontId="34" fillId="17" borderId="0" xfId="28" applyFill="1" applyBorder="1"/>
    <xf numFmtId="0" fontId="34" fillId="18" borderId="0" xfId="28" applyFill="1" applyBorder="1"/>
    <xf numFmtId="0" fontId="34" fillId="19" borderId="0" xfId="28" applyFill="1" applyBorder="1"/>
    <xf numFmtId="0" fontId="47" fillId="7" borderId="0" xfId="28" applyFont="1" applyFill="1" applyBorder="1" applyAlignment="1">
      <alignment horizontal="left" vertical="center"/>
    </xf>
    <xf numFmtId="0" fontId="48" fillId="20" borderId="0" xfId="28" applyFont="1" applyFill="1" applyBorder="1"/>
    <xf numFmtId="0" fontId="48" fillId="20" borderId="0" xfId="28" applyFont="1" applyFill="1" applyBorder="1" applyAlignment="1">
      <alignment horizontal="left"/>
    </xf>
    <xf numFmtId="0" fontId="39" fillId="6" borderId="0" xfId="28" applyFont="1" applyFill="1"/>
    <xf numFmtId="2" fontId="34" fillId="6" borderId="0" xfId="28" applyNumberFormat="1" applyFill="1" applyAlignment="1">
      <alignment horizontal="center"/>
    </xf>
    <xf numFmtId="0" fontId="34" fillId="6" borderId="10" xfId="28" applyFill="1" applyBorder="1" applyAlignment="1">
      <alignment horizontal="center"/>
    </xf>
    <xf numFmtId="0" fontId="34" fillId="6" borderId="3" xfId="28" applyFill="1" applyBorder="1" applyAlignment="1">
      <alignment horizontal="center"/>
    </xf>
    <xf numFmtId="0" fontId="34" fillId="6" borderId="4" xfId="28" applyFill="1" applyBorder="1" applyAlignment="1">
      <alignment horizontal="center"/>
    </xf>
    <xf numFmtId="0" fontId="49" fillId="6" borderId="0" xfId="28" applyFont="1" applyFill="1"/>
    <xf numFmtId="0" fontId="50" fillId="6" borderId="0" xfId="28" applyFont="1" applyFill="1"/>
    <xf numFmtId="0" fontId="34" fillId="6" borderId="0" xfId="28" applyFont="1" applyFill="1" applyAlignment="1">
      <alignment horizontal="left" indent="1"/>
    </xf>
    <xf numFmtId="0" fontId="46" fillId="13" borderId="3" xfId="3" applyFont="1" applyFill="1" applyBorder="1"/>
    <xf numFmtId="0" fontId="45" fillId="13" borderId="3" xfId="3" applyFont="1" applyFill="1" applyBorder="1"/>
  </cellXfs>
  <cellStyles count="31">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29" xfId="30"/>
    <cellStyle name="Normal 3" xfId="3"/>
    <cellStyle name="Normal 4" xfId="4"/>
    <cellStyle name="Normal 4 2" xfId="18"/>
    <cellStyle name="Normal 5" xfId="5"/>
    <cellStyle name="Normal 6" xfId="6"/>
    <cellStyle name="Normal 7" xfId="7"/>
    <cellStyle name="Normal 8" xfId="8"/>
    <cellStyle name="Normal 9" xfId="9"/>
    <cellStyle name="Normal_Outreg_Formatter_v2pt2" xfId="2"/>
  </cellStyles>
  <dxfs count="1">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285750</xdr:colOff>
          <xdr:row>2</xdr:row>
          <xdr:rowOff>0</xdr:rowOff>
        </xdr:from>
        <xdr:to>
          <xdr:col>13</xdr:col>
          <xdr:colOff>361950</xdr:colOff>
          <xdr:row>3</xdr:row>
          <xdr:rowOff>38100</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4</xdr:row>
          <xdr:rowOff>28575</xdr:rowOff>
        </xdr:from>
        <xdr:to>
          <xdr:col>13</xdr:col>
          <xdr:colOff>361950</xdr:colOff>
          <xdr:row>6</xdr:row>
          <xdr:rowOff>38100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7</xdr:row>
          <xdr:rowOff>38100</xdr:rowOff>
        </xdr:from>
        <xdr:to>
          <xdr:col>13</xdr:col>
          <xdr:colOff>361950</xdr:colOff>
          <xdr:row>9</xdr:row>
          <xdr:rowOff>66675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10</xdr:row>
          <xdr:rowOff>66675</xdr:rowOff>
        </xdr:from>
        <xdr:to>
          <xdr:col>13</xdr:col>
          <xdr:colOff>361950</xdr:colOff>
          <xdr:row>12</xdr:row>
          <xdr:rowOff>66675</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295275</xdr:colOff>
          <xdr:row>13</xdr:row>
          <xdr:rowOff>66675</xdr:rowOff>
        </xdr:from>
        <xdr:to>
          <xdr:col>13</xdr:col>
          <xdr:colOff>371475</xdr:colOff>
          <xdr:row>15</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S135"/>
  <sheetViews>
    <sheetView topLeftCell="A85" workbookViewId="0">
      <selection activeCell="I89" sqref="I89"/>
    </sheetView>
  </sheetViews>
  <sheetFormatPr defaultColWidth="0" defaultRowHeight="12.75" zeroHeight="1" outlineLevelRow="1" x14ac:dyDescent="0.2"/>
  <cols>
    <col min="1" max="1" width="9.140625" style="90" customWidth="1"/>
    <col min="2" max="3" width="10" style="90" customWidth="1"/>
    <col min="4" max="4" width="12.7109375" style="90" customWidth="1"/>
    <col min="5" max="5" width="7.140625" style="90" customWidth="1"/>
    <col min="6" max="7" width="9.140625" style="90" customWidth="1"/>
    <col min="8" max="8" width="13.28515625" style="90" bestFit="1" customWidth="1"/>
    <col min="9" max="9" width="11.85546875" style="90" customWidth="1"/>
    <col min="10" max="11" width="9.140625" style="90" customWidth="1"/>
    <col min="12" max="12" width="13.28515625" style="90" bestFit="1" customWidth="1"/>
    <col min="13" max="19" width="9.140625" style="90" customWidth="1"/>
    <col min="20" max="16384" width="9.140625" style="90" hidden="1"/>
  </cols>
  <sheetData>
    <row r="1" spans="1:11" s="121" customFormat="1" ht="25.5" x14ac:dyDescent="0.35">
      <c r="A1" s="122" t="s">
        <v>89</v>
      </c>
    </row>
    <row r="2" spans="1:11" s="35" customFormat="1" ht="15" x14ac:dyDescent="0.25">
      <c r="A2" s="33" t="s">
        <v>17</v>
      </c>
      <c r="B2" s="34"/>
      <c r="C2" s="34"/>
      <c r="D2" s="34"/>
    </row>
    <row r="3" spans="1:11" s="35" customFormat="1" x14ac:dyDescent="0.2">
      <c r="A3" s="36" t="s">
        <v>18</v>
      </c>
      <c r="B3" s="36" t="s">
        <v>19</v>
      </c>
      <c r="C3" s="36" t="s">
        <v>20</v>
      </c>
      <c r="D3" s="36" t="s">
        <v>21</v>
      </c>
    </row>
    <row r="4" spans="1:11" s="35" customFormat="1" x14ac:dyDescent="0.2">
      <c r="A4" s="37" t="s">
        <v>22</v>
      </c>
      <c r="B4" s="38" t="s">
        <v>23</v>
      </c>
      <c r="C4" s="38">
        <v>30</v>
      </c>
      <c r="D4" s="39" t="str">
        <f t="shared" ref="D4:D12" si="0">A4&amp;"_"&amp;B4</f>
        <v>Nick_Test1</v>
      </c>
      <c r="H4" s="91" t="s">
        <v>24</v>
      </c>
    </row>
    <row r="5" spans="1:11" s="35" customFormat="1" x14ac:dyDescent="0.2">
      <c r="A5" s="37" t="s">
        <v>22</v>
      </c>
      <c r="B5" s="38" t="s">
        <v>25</v>
      </c>
      <c r="C5" s="38">
        <v>37</v>
      </c>
      <c r="D5" s="39" t="str">
        <f t="shared" si="0"/>
        <v>Nick_Test2</v>
      </c>
      <c r="H5" s="92" t="s">
        <v>18</v>
      </c>
      <c r="I5" s="93" t="s">
        <v>23</v>
      </c>
      <c r="J5" s="93" t="s">
        <v>25</v>
      </c>
      <c r="K5" s="94" t="s">
        <v>26</v>
      </c>
    </row>
    <row r="6" spans="1:11" s="35" customFormat="1" x14ac:dyDescent="0.2">
      <c r="A6" s="37" t="s">
        <v>22</v>
      </c>
      <c r="B6" s="38" t="s">
        <v>26</v>
      </c>
      <c r="C6" s="38">
        <v>28</v>
      </c>
      <c r="D6" s="39" t="str">
        <f t="shared" si="0"/>
        <v>Nick_Test3</v>
      </c>
      <c r="H6" s="95" t="s">
        <v>27</v>
      </c>
      <c r="I6" s="41">
        <v>95</v>
      </c>
      <c r="J6" s="41">
        <v>100</v>
      </c>
      <c r="K6" s="96">
        <v>110</v>
      </c>
    </row>
    <row r="7" spans="1:11" s="35" customFormat="1" x14ac:dyDescent="0.2">
      <c r="A7" s="37" t="s">
        <v>28</v>
      </c>
      <c r="B7" s="38" t="str">
        <f t="shared" ref="B7:B12" si="1">B4</f>
        <v>Test1</v>
      </c>
      <c r="C7" s="38">
        <v>50</v>
      </c>
      <c r="D7" s="39" t="str">
        <f t="shared" si="0"/>
        <v>Wladimir_Test1</v>
      </c>
      <c r="H7" s="95" t="s">
        <v>22</v>
      </c>
      <c r="I7" s="41">
        <v>30</v>
      </c>
      <c r="J7" s="41">
        <v>37</v>
      </c>
      <c r="K7" s="96">
        <v>28</v>
      </c>
    </row>
    <row r="8" spans="1:11" s="35" customFormat="1" x14ac:dyDescent="0.2">
      <c r="A8" s="37" t="s">
        <v>28</v>
      </c>
      <c r="B8" s="38" t="str">
        <f t="shared" si="1"/>
        <v>Test2</v>
      </c>
      <c r="C8" s="38">
        <v>35</v>
      </c>
      <c r="D8" s="39" t="str">
        <f t="shared" si="0"/>
        <v>Wladimir_Test2</v>
      </c>
      <c r="H8" s="97" t="s">
        <v>28</v>
      </c>
      <c r="I8" s="40">
        <v>50</v>
      </c>
      <c r="J8" s="40">
        <v>35</v>
      </c>
      <c r="K8" s="98">
        <v>75</v>
      </c>
    </row>
    <row r="9" spans="1:11" s="35" customFormat="1" x14ac:dyDescent="0.2">
      <c r="A9" s="37" t="s">
        <v>28</v>
      </c>
      <c r="B9" s="38" t="str">
        <f t="shared" si="1"/>
        <v>Test3</v>
      </c>
      <c r="C9" s="38">
        <v>75</v>
      </c>
      <c r="D9" s="39" t="str">
        <f t="shared" si="0"/>
        <v>Wladimir_Test3</v>
      </c>
    </row>
    <row r="10" spans="1:11" s="35" customFormat="1" x14ac:dyDescent="0.2">
      <c r="A10" s="37" t="s">
        <v>27</v>
      </c>
      <c r="B10" s="38" t="str">
        <f t="shared" si="1"/>
        <v>Test1</v>
      </c>
      <c r="C10" s="38">
        <v>95</v>
      </c>
      <c r="D10" s="39" t="str">
        <f t="shared" si="0"/>
        <v>Bob_Test1</v>
      </c>
    </row>
    <row r="11" spans="1:11" s="35" customFormat="1" x14ac:dyDescent="0.2">
      <c r="A11" s="37" t="s">
        <v>27</v>
      </c>
      <c r="B11" s="38" t="str">
        <f t="shared" si="1"/>
        <v>Test2</v>
      </c>
      <c r="C11" s="38">
        <v>100</v>
      </c>
      <c r="D11" s="39" t="str">
        <f t="shared" si="0"/>
        <v>Bob_Test2</v>
      </c>
    </row>
    <row r="12" spans="1:11" s="35" customFormat="1" x14ac:dyDescent="0.2">
      <c r="A12" s="37" t="s">
        <v>27</v>
      </c>
      <c r="B12" s="38" t="str">
        <f t="shared" si="1"/>
        <v>Test3</v>
      </c>
      <c r="C12" s="38">
        <v>110</v>
      </c>
      <c r="D12" s="39" t="str">
        <f t="shared" si="0"/>
        <v>Bob_Test3</v>
      </c>
    </row>
    <row r="13" spans="1:11" s="42" customFormat="1" x14ac:dyDescent="0.2"/>
    <row r="14" spans="1:11" s="44" customFormat="1" ht="15" x14ac:dyDescent="0.25">
      <c r="A14" s="43" t="s">
        <v>29</v>
      </c>
    </row>
    <row r="15" spans="1:11" s="44" customFormat="1" x14ac:dyDescent="0.2">
      <c r="A15" s="45" t="s">
        <v>30</v>
      </c>
    </row>
    <row r="16" spans="1:11" s="44" customFormat="1" x14ac:dyDescent="0.2">
      <c r="A16" s="46">
        <f>INDEX(A3:C12, 5, 3)</f>
        <v>50</v>
      </c>
    </row>
    <row r="17" spans="1:8" s="44" customFormat="1" x14ac:dyDescent="0.2">
      <c r="A17" s="45"/>
    </row>
    <row r="18" spans="1:8" s="48" customFormat="1" ht="15" x14ac:dyDescent="0.25">
      <c r="A18" s="47" t="s">
        <v>31</v>
      </c>
    </row>
    <row r="19" spans="1:8" s="35" customFormat="1" x14ac:dyDescent="0.2">
      <c r="A19" s="49" t="str">
        <f>"In the example above, the first argument of the table is 'A"&amp;ROW(A3)&amp;":C"&amp;ROW(A12)&amp;"'. While that's a familiar reference, it's got a limitation: it's hard for people to know semantically what"</f>
        <v>In the example above, the first argument of the table is 'A3:C12'. While that's a familiar reference, it's got a limitation: it's hard for people to know semantically what</v>
      </c>
    </row>
    <row r="20" spans="1:8" s="35" customFormat="1" x14ac:dyDescent="0.2">
      <c r="A20" s="62" t="s">
        <v>143</v>
      </c>
    </row>
    <row r="21" spans="1:8" s="35" customFormat="1" x14ac:dyDescent="0.2">
      <c r="A21" s="50">
        <f>INDEX(TestData, 5, 3)</f>
        <v>50</v>
      </c>
    </row>
    <row r="22" spans="1:8" s="35" customFormat="1" x14ac:dyDescent="0.2">
      <c r="A22" s="49"/>
    </row>
    <row r="23" spans="1:8" s="35" customFormat="1" x14ac:dyDescent="0.2">
      <c r="A23" s="49" t="str">
        <f>"A range name is just an alias for a cell. This cell is named 'A"&amp;ROW(A23)&amp;"', and if you have it selected, then you'll see a box reading 'A"&amp;ROW(A23)&amp;"' at the top left of your screen, below the File menu, just past the toolbars."</f>
        <v>A range name is just an alias for a cell. This cell is named 'A23', and if you have it selected, then you'll see a box reading 'A23' at the top left of your screen, below the File menu, just past the toolbars.</v>
      </c>
    </row>
    <row r="24" spans="1:8" s="35" customFormat="1" x14ac:dyDescent="0.2">
      <c r="A24" s="49" t="str">
        <f>"If you highlight a cell (or a range of cells), click in there and type in another word, then you've just created that alias. As another quick example, I've done this with cell E"&amp;ROW(FtoC_conv)&amp;", and used it in C"&amp;ROW(C27)&amp;" and C"&amp;ROW(C28)&amp;":"</f>
        <v>If you highlight a cell (or a range of cells), click in there and type in another word, then you've just created that alias. As another quick example, I've done this with cell E26, and used it in C27 and C28:</v>
      </c>
    </row>
    <row r="25" spans="1:8" s="35" customFormat="1" x14ac:dyDescent="0.2"/>
    <row r="26" spans="1:8" s="35" customFormat="1" x14ac:dyDescent="0.2">
      <c r="B26" s="36" t="s">
        <v>32</v>
      </c>
      <c r="C26" s="36" t="s">
        <v>33</v>
      </c>
      <c r="E26" s="51">
        <f>5/9</f>
        <v>0.55555555555555558</v>
      </c>
      <c r="F26" s="52" t="s">
        <v>34</v>
      </c>
      <c r="G26" s="53"/>
      <c r="H26" s="54"/>
    </row>
    <row r="27" spans="1:8" s="35" customFormat="1" x14ac:dyDescent="0.2">
      <c r="B27" s="38">
        <v>85</v>
      </c>
      <c r="C27" s="55">
        <f>FtoC_conv*(B27-32)</f>
        <v>29.444444444444446</v>
      </c>
    </row>
    <row r="28" spans="1:8" s="35" customFormat="1" x14ac:dyDescent="0.2">
      <c r="B28" s="38">
        <v>40</v>
      </c>
      <c r="C28" s="55">
        <f>FtoC_conv*(B28-32)</f>
        <v>4.4444444444444446</v>
      </c>
    </row>
    <row r="29" spans="1:8" s="35" customFormat="1" x14ac:dyDescent="0.2">
      <c r="B29" s="38"/>
      <c r="C29" s="39"/>
    </row>
    <row r="30" spans="1:8" s="35" customFormat="1" x14ac:dyDescent="0.2">
      <c r="A30" s="49" t="s">
        <v>35</v>
      </c>
    </row>
    <row r="31" spans="1:8" s="42" customFormat="1" x14ac:dyDescent="0.2"/>
    <row r="32" spans="1:8" s="57" customFormat="1" ht="15" x14ac:dyDescent="0.25">
      <c r="A32" s="56" t="s">
        <v>36</v>
      </c>
    </row>
    <row r="33" spans="1:1" s="44" customFormat="1" x14ac:dyDescent="0.2">
      <c r="A33" s="46">
        <f>MATCH("Bob_Test3", TestData_ID, 0)</f>
        <v>10</v>
      </c>
    </row>
    <row r="34" spans="1:1" s="44" customFormat="1" x14ac:dyDescent="0.2">
      <c r="A34" s="45" t="s">
        <v>37</v>
      </c>
    </row>
    <row r="35" spans="1:1" s="44" customFormat="1" x14ac:dyDescent="0.2">
      <c r="A35" s="45" t="s">
        <v>38</v>
      </c>
    </row>
    <row r="36" spans="1:1" s="44" customFormat="1" x14ac:dyDescent="0.2"/>
    <row r="37" spans="1:1" s="48" customFormat="1" ht="15" x14ac:dyDescent="0.25">
      <c r="A37" s="47" t="s">
        <v>39</v>
      </c>
    </row>
    <row r="38" spans="1:1" s="35" customFormat="1" x14ac:dyDescent="0.2">
      <c r="A38" s="35" t="s">
        <v>142</v>
      </c>
    </row>
    <row r="39" spans="1:1" s="35" customFormat="1" x14ac:dyDescent="0.2">
      <c r="A39" s="58" t="str">
        <f>"Math"&amp;"Rulez"</f>
        <v>MathRulez</v>
      </c>
    </row>
    <row r="40" spans="1:1" s="35" customFormat="1" x14ac:dyDescent="0.2">
      <c r="A40" s="49" t="s">
        <v>40</v>
      </c>
    </row>
    <row r="41" spans="1:1" s="35" customFormat="1" x14ac:dyDescent="0.2">
      <c r="A41" s="58" t="e">
        <f>Math&amp;Rulez</f>
        <v>#NAME?</v>
      </c>
    </row>
    <row r="42" spans="1:1" s="42" customFormat="1" x14ac:dyDescent="0.2"/>
    <row r="43" spans="1:1" s="44" customFormat="1" ht="15" x14ac:dyDescent="0.25">
      <c r="A43" s="43" t="s">
        <v>41</v>
      </c>
    </row>
    <row r="44" spans="1:1" s="44" customFormat="1" x14ac:dyDescent="0.2">
      <c r="A44" s="45" t="s">
        <v>141</v>
      </c>
    </row>
    <row r="45" spans="1:1" s="44" customFormat="1" x14ac:dyDescent="0.2">
      <c r="A45" s="120" t="s">
        <v>140</v>
      </c>
    </row>
    <row r="46" spans="1:1" s="44" customFormat="1" x14ac:dyDescent="0.2">
      <c r="A46" s="45" t="s">
        <v>139</v>
      </c>
    </row>
    <row r="47" spans="1:1" s="44" customFormat="1" x14ac:dyDescent="0.2">
      <c r="A47" s="120" t="s">
        <v>138</v>
      </c>
    </row>
    <row r="48" spans="1:1" s="44" customFormat="1" x14ac:dyDescent="0.2">
      <c r="A48" s="45" t="s">
        <v>137</v>
      </c>
    </row>
    <row r="49" spans="1:12" s="44" customFormat="1" x14ac:dyDescent="0.2">
      <c r="A49" s="45" t="s">
        <v>136</v>
      </c>
    </row>
    <row r="50" spans="1:12" s="44" customFormat="1" x14ac:dyDescent="0.2">
      <c r="A50" s="45" t="s">
        <v>135</v>
      </c>
    </row>
    <row r="51" spans="1:12" s="44" customFormat="1" ht="14.25" x14ac:dyDescent="0.2">
      <c r="A51" s="113"/>
    </row>
    <row r="52" spans="1:12" s="118" customFormat="1" ht="15" x14ac:dyDescent="0.25">
      <c r="A52" s="119"/>
      <c r="B52" s="118" t="s">
        <v>134</v>
      </c>
      <c r="F52" s="118" t="s">
        <v>133</v>
      </c>
      <c r="J52" s="118" t="s">
        <v>132</v>
      </c>
    </row>
    <row r="53" spans="1:12" s="44" customFormat="1" ht="14.25" x14ac:dyDescent="0.2">
      <c r="A53" s="113"/>
      <c r="B53" s="117" t="s">
        <v>131</v>
      </c>
      <c r="C53" s="116" t="s">
        <v>130</v>
      </c>
      <c r="D53" s="116" t="s">
        <v>129</v>
      </c>
      <c r="F53" s="117" t="s">
        <v>131</v>
      </c>
      <c r="G53" s="116" t="s">
        <v>130</v>
      </c>
      <c r="H53" s="116" t="s">
        <v>129</v>
      </c>
      <c r="J53" s="117" t="s">
        <v>131</v>
      </c>
      <c r="K53" s="116" t="s">
        <v>130</v>
      </c>
      <c r="L53" s="116" t="s">
        <v>129</v>
      </c>
    </row>
    <row r="54" spans="1:12" s="44" customFormat="1" ht="14.25" x14ac:dyDescent="0.2">
      <c r="A54" s="113"/>
      <c r="B54" s="115">
        <v>1</v>
      </c>
      <c r="C54" s="114">
        <f>PI()*IF(C53="Area", B54^2, B54*2)</f>
        <v>3.1415926535897931</v>
      </c>
      <c r="D54" s="114"/>
      <c r="F54" s="115">
        <v>1</v>
      </c>
      <c r="G54" s="114">
        <f t="shared" ref="G54:H56" si="2">PI()*IF(G53="Area", F54^2, F54*2)</f>
        <v>3.1415926535897931</v>
      </c>
      <c r="H54" s="114">
        <f t="shared" si="2"/>
        <v>19.739208802178716</v>
      </c>
      <c r="J54" s="115">
        <v>1</v>
      </c>
      <c r="K54" s="114">
        <f t="shared" ref="K54:L56" si="3">PI()*IF(K$53="Area", $J54^2, $J54*2)</f>
        <v>3.1415926535897931</v>
      </c>
      <c r="L54" s="114">
        <f t="shared" si="3"/>
        <v>6.2831853071795862</v>
      </c>
    </row>
    <row r="55" spans="1:12" s="44" customFormat="1" ht="14.25" x14ac:dyDescent="0.2">
      <c r="A55" s="113"/>
      <c r="B55" s="115">
        <v>2</v>
      </c>
      <c r="C55" s="114"/>
      <c r="D55" s="114"/>
      <c r="F55" s="115">
        <v>2</v>
      </c>
      <c r="G55" s="114">
        <f t="shared" si="2"/>
        <v>12.566370614359172</v>
      </c>
      <c r="H55" s="114">
        <f t="shared" si="2"/>
        <v>78.956835208714864</v>
      </c>
      <c r="J55" s="115">
        <v>2</v>
      </c>
      <c r="K55" s="114">
        <f t="shared" si="3"/>
        <v>12.566370614359172</v>
      </c>
      <c r="L55" s="114">
        <f t="shared" si="3"/>
        <v>12.566370614359172</v>
      </c>
    </row>
    <row r="56" spans="1:12" s="44" customFormat="1" ht="14.25" x14ac:dyDescent="0.2">
      <c r="A56" s="113"/>
      <c r="B56" s="115">
        <v>3</v>
      </c>
      <c r="C56" s="114"/>
      <c r="D56" s="114"/>
      <c r="F56" s="115">
        <v>3</v>
      </c>
      <c r="G56" s="114">
        <f t="shared" si="2"/>
        <v>18.849555921538759</v>
      </c>
      <c r="H56" s="114">
        <f t="shared" si="2"/>
        <v>118.4352528130723</v>
      </c>
      <c r="J56" s="115">
        <v>3</v>
      </c>
      <c r="K56" s="114">
        <f t="shared" si="3"/>
        <v>28.274333882308138</v>
      </c>
      <c r="L56" s="114">
        <f t="shared" si="3"/>
        <v>18.849555921538759</v>
      </c>
    </row>
    <row r="57" spans="1:12" s="44" customFormat="1" ht="14.25" x14ac:dyDescent="0.2">
      <c r="A57" s="113"/>
    </row>
    <row r="58" spans="1:12" s="44" customFormat="1" x14ac:dyDescent="0.2"/>
    <row r="59" spans="1:12" s="48" customFormat="1" ht="15" x14ac:dyDescent="0.25">
      <c r="A59" s="47" t="s">
        <v>42</v>
      </c>
    </row>
    <row r="60" spans="1:12" s="35" customFormat="1" x14ac:dyDescent="0.2">
      <c r="A60" s="36" t="s">
        <v>18</v>
      </c>
      <c r="B60" s="36" t="s">
        <v>23</v>
      </c>
      <c r="C60" s="36" t="s">
        <v>25</v>
      </c>
      <c r="D60" s="36" t="s">
        <v>26</v>
      </c>
    </row>
    <row r="61" spans="1:12" s="35" customFormat="1" x14ac:dyDescent="0.2">
      <c r="A61" s="37" t="s">
        <v>28</v>
      </c>
      <c r="B61" s="59">
        <f t="shared" ref="B61:D63" si="4">INDEX(TestData, MATCH($A61&amp;"_"&amp;B$60, TestData_ID, 0), MATCH("Score", TestData_header, 0))</f>
        <v>50</v>
      </c>
      <c r="C61" s="59">
        <f t="shared" si="4"/>
        <v>35</v>
      </c>
      <c r="D61" s="59">
        <f t="shared" si="4"/>
        <v>75</v>
      </c>
    </row>
    <row r="62" spans="1:12" s="35" customFormat="1" x14ac:dyDescent="0.2">
      <c r="A62" s="37" t="s">
        <v>27</v>
      </c>
      <c r="B62" s="59">
        <f t="shared" si="4"/>
        <v>95</v>
      </c>
      <c r="C62" s="59">
        <f t="shared" si="4"/>
        <v>100</v>
      </c>
      <c r="D62" s="59">
        <f t="shared" si="4"/>
        <v>110</v>
      </c>
    </row>
    <row r="63" spans="1:12" s="35" customFormat="1" x14ac:dyDescent="0.2">
      <c r="A63" s="37" t="s">
        <v>22</v>
      </c>
      <c r="B63" s="59">
        <f t="shared" si="4"/>
        <v>30</v>
      </c>
      <c r="C63" s="59">
        <f t="shared" si="4"/>
        <v>37</v>
      </c>
      <c r="D63" s="59">
        <f t="shared" si="4"/>
        <v>28</v>
      </c>
    </row>
    <row r="64" spans="1:12" s="60" customFormat="1" x14ac:dyDescent="0.2"/>
    <row r="65" spans="1:9" s="35" customFormat="1" x14ac:dyDescent="0.2">
      <c r="A65" s="61" t="s">
        <v>43</v>
      </c>
    </row>
    <row r="66" spans="1:9" s="35" customFormat="1" x14ac:dyDescent="0.2">
      <c r="A66" s="61" t="str">
        <f>"By using the MATCH function, this formula becomes smart enough to use it's own context to know what to look for. I.e., cell C"&amp;ROW($C$63)&amp;" knows that it's in the row for "&amp;CHAR(34)&amp;"Nick"&amp;CHAR(34)&amp;" and the column for "&amp;CHAR(34)&amp;"Test2"&amp;CHAR(34)&amp;", and"</f>
        <v>By using the MATCH function, this formula becomes smart enough to use it's own context to know what to look for. I.e., cell C63 knows that it's in the row for "Nick" and the column for "Test2", and</v>
      </c>
    </row>
    <row r="67" spans="1:9" s="35" customFormat="1" x14ac:dyDescent="0.2">
      <c r="A67" s="62" t="s">
        <v>128</v>
      </c>
    </row>
    <row r="68" spans="1:9" s="35" customFormat="1" x14ac:dyDescent="0.2">
      <c r="A68" s="63" t="s">
        <v>44</v>
      </c>
    </row>
    <row r="69" spans="1:9" s="42" customFormat="1" x14ac:dyDescent="0.2">
      <c r="A69" s="64" t="s">
        <v>45</v>
      </c>
    </row>
    <row r="70" spans="1:9" s="111" customFormat="1" hidden="1" x14ac:dyDescent="0.2">
      <c r="A70" s="112" t="s">
        <v>46</v>
      </c>
    </row>
    <row r="71" spans="1:9" s="66" customFormat="1" ht="15" x14ac:dyDescent="0.25">
      <c r="A71" s="65" t="s">
        <v>47</v>
      </c>
    </row>
    <row r="72" spans="1:9" s="66" customFormat="1" x14ac:dyDescent="0.2">
      <c r="A72" s="67" t="s">
        <v>127</v>
      </c>
    </row>
    <row r="73" spans="1:9" s="68" customFormat="1" ht="29.45" hidden="1" customHeight="1" outlineLevel="1" x14ac:dyDescent="0.2">
      <c r="A73" s="110" t="s">
        <v>126</v>
      </c>
      <c r="D73" s="109"/>
      <c r="E73" s="108"/>
      <c r="F73" s="107"/>
      <c r="G73" s="106"/>
      <c r="H73" s="105"/>
      <c r="I73" s="104"/>
    </row>
    <row r="74" spans="1:9" s="66" customFormat="1" collapsed="1" x14ac:dyDescent="0.2">
      <c r="A74" s="67" t="s">
        <v>48</v>
      </c>
    </row>
    <row r="75" spans="1:9" s="66" customFormat="1" x14ac:dyDescent="0.2">
      <c r="A75" s="67" t="s">
        <v>49</v>
      </c>
    </row>
    <row r="76" spans="1:9" s="66" customFormat="1" x14ac:dyDescent="0.2">
      <c r="A76" s="67"/>
    </row>
    <row r="77" spans="1:9" s="66" customFormat="1" x14ac:dyDescent="0.2">
      <c r="A77" s="69" t="s">
        <v>85</v>
      </c>
    </row>
    <row r="78" spans="1:9" s="66" customFormat="1" x14ac:dyDescent="0.2">
      <c r="A78" s="69"/>
      <c r="C78" s="99" t="s">
        <v>23</v>
      </c>
      <c r="D78" s="99" t="s">
        <v>25</v>
      </c>
      <c r="E78" s="99" t="s">
        <v>26</v>
      </c>
    </row>
    <row r="79" spans="1:9" s="66" customFormat="1" x14ac:dyDescent="0.2">
      <c r="A79" s="69"/>
      <c r="B79" s="101" t="s">
        <v>18</v>
      </c>
      <c r="C79" s="71" t="s">
        <v>86</v>
      </c>
      <c r="D79" s="71" t="s">
        <v>87</v>
      </c>
      <c r="E79" s="71" t="s">
        <v>88</v>
      </c>
    </row>
    <row r="80" spans="1:9" s="66" customFormat="1" x14ac:dyDescent="0.2">
      <c r="A80" s="99" t="s">
        <v>28</v>
      </c>
      <c r="B80" s="102" t="s">
        <v>125</v>
      </c>
      <c r="C80" s="100">
        <f t="shared" ref="C80:E82" si="5">INDEX(TestData, MATCH($A80&amp;"_"&amp;C$78, TestData_ID, 0),MATCH("Score", TestData_header, 0))</f>
        <v>50</v>
      </c>
      <c r="D80" s="100">
        <f t="shared" si="5"/>
        <v>35</v>
      </c>
      <c r="E80" s="100">
        <f t="shared" si="5"/>
        <v>75</v>
      </c>
    </row>
    <row r="81" spans="1:5" s="66" customFormat="1" x14ac:dyDescent="0.2">
      <c r="A81" s="99" t="s">
        <v>27</v>
      </c>
      <c r="B81" s="102" t="s">
        <v>124</v>
      </c>
      <c r="C81" s="100">
        <f t="shared" si="5"/>
        <v>95</v>
      </c>
      <c r="D81" s="100">
        <f t="shared" si="5"/>
        <v>100</v>
      </c>
      <c r="E81" s="100">
        <f t="shared" si="5"/>
        <v>110</v>
      </c>
    </row>
    <row r="82" spans="1:5" s="66" customFormat="1" x14ac:dyDescent="0.2">
      <c r="A82" s="99" t="s">
        <v>22</v>
      </c>
      <c r="B82" s="102" t="s">
        <v>123</v>
      </c>
      <c r="C82" s="100">
        <f t="shared" si="5"/>
        <v>30</v>
      </c>
      <c r="D82" s="100">
        <f t="shared" si="5"/>
        <v>37</v>
      </c>
      <c r="E82" s="100">
        <f t="shared" si="5"/>
        <v>28</v>
      </c>
    </row>
    <row r="83" spans="1:5" s="66" customFormat="1" x14ac:dyDescent="0.2">
      <c r="A83" s="69"/>
    </row>
    <row r="84" spans="1:5" s="66" customFormat="1" x14ac:dyDescent="0.2">
      <c r="A84" s="69" t="s">
        <v>50</v>
      </c>
    </row>
    <row r="85" spans="1:5" s="66" customFormat="1" x14ac:dyDescent="0.2">
      <c r="A85" s="69" t="str">
        <f>"forget what's there. For example, you would probably never have realized that row "&amp;ROW(A70)&amp;" is hidden! You'd only notice if you already knew it was hidden, or were paying very close attention to the row numbers, in which case "</f>
        <v xml:space="preserve">forget what's there. For example, you would probably never have realized that row 70 is hidden! You'd only notice if you already knew it was hidden, or were paying very close attention to the row numbers, in which case </v>
      </c>
    </row>
    <row r="86" spans="1:5" s="66" customFormat="1" x14ac:dyDescent="0.2">
      <c r="A86" s="69" t="s">
        <v>51</v>
      </c>
    </row>
    <row r="87" spans="1:5" s="66" customFormat="1" x14ac:dyDescent="0.2">
      <c r="A87" s="69"/>
    </row>
    <row r="88" spans="1:5" s="66" customFormat="1" x14ac:dyDescent="0.2">
      <c r="A88" s="69" t="s">
        <v>52</v>
      </c>
    </row>
    <row r="89" spans="1:5" s="66" customFormat="1" x14ac:dyDescent="0.2">
      <c r="A89" s="69" t="s">
        <v>53</v>
      </c>
    </row>
    <row r="90" spans="1:5" s="66" customFormat="1" x14ac:dyDescent="0.2">
      <c r="A90" s="69" t="str">
        <f>"As you can clearly see, we've got a plus sign on row "&amp;ROW($A$73)&amp;"! Open it up! And, for a nice example of how it can be used, see the example on INDIRECT() below!"</f>
        <v>As you can clearly see, we've got a plus sign on row 73! Open it up! And, for a nice example of how it can be used, see the example on INDIRECT() below!</v>
      </c>
    </row>
    <row r="91" spans="1:5" s="71" customFormat="1" x14ac:dyDescent="0.2">
      <c r="A91" s="70"/>
    </row>
    <row r="92" spans="1:5" s="35" customFormat="1" ht="15" x14ac:dyDescent="0.25">
      <c r="A92" s="72" t="s">
        <v>54</v>
      </c>
    </row>
    <row r="93" spans="1:5" s="35" customFormat="1" x14ac:dyDescent="0.2">
      <c r="A93" s="61" t="s">
        <v>55</v>
      </c>
    </row>
    <row r="94" spans="1:5" s="35" customFormat="1" x14ac:dyDescent="0.2">
      <c r="A94" s="61" t="s">
        <v>56</v>
      </c>
    </row>
    <row r="95" spans="1:5" s="35" customFormat="1" x14ac:dyDescent="0.2">
      <c r="A95" s="61" t="s">
        <v>57</v>
      </c>
    </row>
    <row r="96" spans="1:5" s="35" customFormat="1" x14ac:dyDescent="0.2">
      <c r="A96" s="61" t="s">
        <v>58</v>
      </c>
    </row>
    <row r="97" spans="1:14" s="35" customFormat="1" x14ac:dyDescent="0.2">
      <c r="A97" s="61" t="s">
        <v>59</v>
      </c>
    </row>
    <row r="98" spans="1:14" s="35" customFormat="1" x14ac:dyDescent="0.2">
      <c r="A98" s="61"/>
    </row>
    <row r="99" spans="1:14" s="35" customFormat="1" x14ac:dyDescent="0.2">
      <c r="A99" s="61"/>
      <c r="B99" s="76" t="s">
        <v>62</v>
      </c>
      <c r="C99" s="77"/>
      <c r="D99" s="38"/>
      <c r="E99" s="37"/>
      <c r="F99" s="74" t="s">
        <v>60</v>
      </c>
      <c r="G99" s="75"/>
      <c r="H99" s="74"/>
      <c r="I99" s="75"/>
      <c r="J99" s="73"/>
      <c r="K99" s="74" t="s">
        <v>61</v>
      </c>
      <c r="L99" s="75"/>
      <c r="M99" s="74"/>
      <c r="N99" s="75"/>
    </row>
    <row r="100" spans="1:14" s="35" customFormat="1" x14ac:dyDescent="0.2">
      <c r="A100" s="42"/>
      <c r="B100" s="79" t="s">
        <v>67</v>
      </c>
      <c r="C100" s="79" t="s">
        <v>68</v>
      </c>
      <c r="D100" s="38"/>
      <c r="E100" s="37"/>
      <c r="F100" s="78" t="s">
        <v>63</v>
      </c>
      <c r="G100" s="79" t="s">
        <v>64</v>
      </c>
      <c r="H100" s="79" t="s">
        <v>65</v>
      </c>
      <c r="I100" s="79" t="s">
        <v>66</v>
      </c>
      <c r="K100" s="78" t="s">
        <v>63</v>
      </c>
      <c r="L100" s="79" t="s">
        <v>64</v>
      </c>
      <c r="M100" s="79" t="s">
        <v>65</v>
      </c>
      <c r="N100" s="79" t="s">
        <v>66</v>
      </c>
    </row>
    <row r="101" spans="1:14" s="35" customFormat="1" hidden="1" outlineLevel="1" x14ac:dyDescent="0.2">
      <c r="A101" s="42"/>
      <c r="B101" s="80" t="s">
        <v>69</v>
      </c>
      <c r="C101" s="80" t="s">
        <v>70</v>
      </c>
      <c r="D101" s="38"/>
      <c r="E101" s="37"/>
    </row>
    <row r="102" spans="1:14" s="35" customFormat="1" collapsed="1" x14ac:dyDescent="0.2">
      <c r="A102" s="61" t="s">
        <v>64</v>
      </c>
      <c r="B102" s="38" t="str">
        <f ca="1">INDEX(INDIRECT(B$101),
     MATCH($B$99, INDIRECT(B$101&amp;"_Color"), 0),
     MATCH($A102, INDIRECT(B$101&amp;"_H"), 0)
)</f>
        <v>ž</v>
      </c>
      <c r="C102" s="38" t="str">
        <f ca="1">INDEX(INDIRECT(C$101),
     MATCH($B$99, INDIRECT(C$101&amp;"_Color"), 0),
     MATCH($A102, INDIRECT(C$101&amp;"_H"), 0)
)</f>
        <v>t</v>
      </c>
      <c r="D102" s="38"/>
      <c r="E102" s="37"/>
      <c r="F102" s="49" t="s">
        <v>62</v>
      </c>
      <c r="G102" s="38" t="s">
        <v>90</v>
      </c>
      <c r="H102" s="37" t="s">
        <v>91</v>
      </c>
      <c r="I102" s="38" t="s">
        <v>92</v>
      </c>
      <c r="K102" s="49" t="s">
        <v>62</v>
      </c>
      <c r="L102" s="38" t="s">
        <v>93</v>
      </c>
      <c r="M102" s="37" t="s">
        <v>94</v>
      </c>
      <c r="N102" s="38" t="s">
        <v>95</v>
      </c>
    </row>
    <row r="103" spans="1:14" s="35" customFormat="1" x14ac:dyDescent="0.2">
      <c r="D103" s="38"/>
      <c r="E103" s="37"/>
      <c r="F103" s="49" t="s">
        <v>71</v>
      </c>
      <c r="G103" s="38" t="s">
        <v>96</v>
      </c>
      <c r="H103" s="38" t="s">
        <v>97</v>
      </c>
      <c r="I103" s="38" t="s">
        <v>98</v>
      </c>
      <c r="K103" s="49" t="s">
        <v>71</v>
      </c>
      <c r="L103" s="38" t="s">
        <v>99</v>
      </c>
      <c r="M103" s="38" t="s">
        <v>100</v>
      </c>
      <c r="N103" s="38" t="s">
        <v>101</v>
      </c>
    </row>
    <row r="104" spans="1:14" s="35" customFormat="1" x14ac:dyDescent="0.2">
      <c r="C104" s="37"/>
      <c r="D104" s="38"/>
      <c r="E104" s="37"/>
      <c r="F104" s="49" t="s">
        <v>72</v>
      </c>
      <c r="G104" s="38" t="s">
        <v>102</v>
      </c>
      <c r="H104" s="38" t="s">
        <v>103</v>
      </c>
      <c r="I104" s="38" t="s">
        <v>104</v>
      </c>
      <c r="K104" s="49" t="s">
        <v>72</v>
      </c>
      <c r="L104" s="38" t="s">
        <v>105</v>
      </c>
      <c r="M104" s="38" t="s">
        <v>106</v>
      </c>
      <c r="N104" s="38" t="s">
        <v>107</v>
      </c>
    </row>
    <row r="105" spans="1:14" s="35" customFormat="1" x14ac:dyDescent="0.2">
      <c r="A105" s="61"/>
      <c r="C105" s="37"/>
      <c r="D105" s="38"/>
      <c r="E105" s="37"/>
      <c r="F105" s="49" t="s">
        <v>73</v>
      </c>
      <c r="G105" s="38" t="s">
        <v>108</v>
      </c>
      <c r="H105" s="38" t="s">
        <v>109</v>
      </c>
      <c r="I105" s="38" t="s">
        <v>110</v>
      </c>
      <c r="K105" s="49" t="s">
        <v>73</v>
      </c>
      <c r="L105" s="38" t="s">
        <v>111</v>
      </c>
      <c r="M105" s="38" t="s">
        <v>112</v>
      </c>
      <c r="N105" s="38" t="s">
        <v>113</v>
      </c>
    </row>
    <row r="106" spans="1:14" s="35" customFormat="1" x14ac:dyDescent="0.2">
      <c r="A106" s="61"/>
      <c r="C106" s="37"/>
      <c r="D106" s="38"/>
      <c r="E106" s="37"/>
      <c r="F106" s="49" t="s">
        <v>74</v>
      </c>
      <c r="G106" s="38" t="s">
        <v>93</v>
      </c>
      <c r="H106" s="38" t="s">
        <v>114</v>
      </c>
      <c r="I106" s="38" t="s">
        <v>115</v>
      </c>
      <c r="K106" s="49" t="s">
        <v>74</v>
      </c>
      <c r="L106" s="38" t="s">
        <v>103</v>
      </c>
      <c r="M106" s="38" t="s">
        <v>116</v>
      </c>
      <c r="N106" s="38" t="s">
        <v>117</v>
      </c>
    </row>
    <row r="107" spans="1:14" s="35" customFormat="1" x14ac:dyDescent="0.2">
      <c r="A107" s="61"/>
      <c r="C107" s="37"/>
      <c r="D107" s="38"/>
      <c r="E107" s="37"/>
      <c r="F107" s="49" t="s">
        <v>75</v>
      </c>
      <c r="G107" s="38" t="s">
        <v>118</v>
      </c>
      <c r="H107" s="38" t="s">
        <v>91</v>
      </c>
      <c r="I107" s="38" t="s">
        <v>119</v>
      </c>
      <c r="K107" s="49" t="s">
        <v>75</v>
      </c>
      <c r="L107" s="38" t="s">
        <v>120</v>
      </c>
      <c r="M107" s="38" t="s">
        <v>121</v>
      </c>
      <c r="N107" s="38" t="s">
        <v>122</v>
      </c>
    </row>
    <row r="108" spans="1:14" s="35" customFormat="1" x14ac:dyDescent="0.2">
      <c r="A108" s="61"/>
      <c r="C108" s="37"/>
      <c r="D108" s="38"/>
      <c r="E108" s="37"/>
    </row>
    <row r="109" spans="1:14" s="35" customFormat="1" x14ac:dyDescent="0.2">
      <c r="A109" s="61" t="s">
        <v>76</v>
      </c>
      <c r="C109" s="37"/>
      <c r="D109" s="38"/>
      <c r="E109" s="37"/>
    </row>
    <row r="110" spans="1:14" s="35" customFormat="1" x14ac:dyDescent="0.2">
      <c r="A110" s="63"/>
    </row>
    <row r="111" spans="1:14" s="82" customFormat="1" ht="15" x14ac:dyDescent="0.25">
      <c r="A111" s="81" t="s">
        <v>77</v>
      </c>
    </row>
    <row r="112" spans="1:14" s="66" customFormat="1" x14ac:dyDescent="0.2">
      <c r="A112" s="83" t="s">
        <v>78</v>
      </c>
    </row>
    <row r="113" spans="1:2" s="66" customFormat="1" x14ac:dyDescent="0.2">
      <c r="A113" s="83" t="s">
        <v>79</v>
      </c>
    </row>
    <row r="114" spans="1:2" s="66" customFormat="1" x14ac:dyDescent="0.2">
      <c r="A114" s="84"/>
      <c r="B114" s="66" t="s">
        <v>80</v>
      </c>
    </row>
    <row r="115" spans="1:2" s="66" customFormat="1" x14ac:dyDescent="0.2">
      <c r="A115" s="85"/>
      <c r="B115" s="66" t="s">
        <v>81</v>
      </c>
    </row>
    <row r="116" spans="1:2" s="66" customFormat="1" x14ac:dyDescent="0.2">
      <c r="A116" s="86"/>
      <c r="B116" s="66" t="s">
        <v>82</v>
      </c>
    </row>
    <row r="117" spans="1:2" s="66" customFormat="1" x14ac:dyDescent="0.2">
      <c r="A117" s="87"/>
      <c r="B117" s="66" t="s">
        <v>83</v>
      </c>
    </row>
    <row r="118" spans="1:2" s="71" customFormat="1" x14ac:dyDescent="0.2">
      <c r="A118" s="88"/>
      <c r="B118" s="71" t="s">
        <v>84</v>
      </c>
    </row>
    <row r="119" spans="1:2" s="89" customFormat="1" hidden="1" x14ac:dyDescent="0.2"/>
    <row r="120" spans="1:2" s="89" customFormat="1" hidden="1" x14ac:dyDescent="0.2"/>
    <row r="121" spans="1:2" s="89" customFormat="1" hidden="1" x14ac:dyDescent="0.2"/>
    <row r="122" spans="1:2" s="89" customFormat="1" hidden="1" x14ac:dyDescent="0.2"/>
    <row r="123" spans="1:2" hidden="1" x14ac:dyDescent="0.2"/>
    <row r="124" spans="1:2" hidden="1" x14ac:dyDescent="0.2"/>
    <row r="125" spans="1:2" hidden="1" x14ac:dyDescent="0.2"/>
    <row r="126" spans="1:2" hidden="1" x14ac:dyDescent="0.2"/>
    <row r="127" spans="1:2" s="103" customFormat="1" hidden="1" x14ac:dyDescent="0.2"/>
    <row r="128" spans="1:2" hidden="1" x14ac:dyDescent="0.2"/>
    <row r="129" hidden="1" x14ac:dyDescent="0.2"/>
    <row r="130" hidden="1" x14ac:dyDescent="0.2"/>
    <row r="131" hidden="1" x14ac:dyDescent="0.2"/>
    <row r="132" hidden="1" x14ac:dyDescent="0.2"/>
    <row r="133" hidden="1" x14ac:dyDescent="0.2"/>
    <row r="134" hidden="1" x14ac:dyDescent="0.2"/>
    <row r="135" x14ac:dyDescent="0.2"/>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pageSetUpPr fitToPage="1"/>
  </sheetPr>
  <dimension ref="A1:R87"/>
  <sheetViews>
    <sheetView tabSelected="1" zoomScaleNormal="100" workbookViewId="0">
      <pane ySplit="1" topLeftCell="A2" activePane="bottomLeft" state="frozen"/>
      <selection pane="bottomLeft" activeCell="A2" sqref="A2"/>
    </sheetView>
  </sheetViews>
  <sheetFormatPr defaultColWidth="8" defaultRowHeight="12.75" outlineLevelCol="1" x14ac:dyDescent="0.2"/>
  <cols>
    <col min="1" max="1" width="56.42578125" style="1" customWidth="1"/>
    <col min="2" max="2" width="45" style="1" customWidth="1"/>
    <col min="3" max="3" width="22.42578125" style="1" customWidth="1" outlineLevel="1"/>
    <col min="4" max="4" width="24.28515625" style="13" bestFit="1" customWidth="1"/>
    <col min="5" max="5" width="9.140625" style="15" bestFit="1" customWidth="1"/>
    <col min="6" max="6" width="5.28515625" style="1" bestFit="1" customWidth="1"/>
    <col min="7" max="7" width="7.7109375" style="1" customWidth="1"/>
    <col min="8" max="8" width="9.140625" style="1" bestFit="1" customWidth="1"/>
    <col min="9" max="9" width="12.5703125" style="1" customWidth="1"/>
    <col min="10" max="10" width="6.5703125" style="1" customWidth="1"/>
    <col min="11" max="11" width="8.7109375" style="1" bestFit="1" customWidth="1"/>
    <col min="12" max="16384" width="8" style="1"/>
  </cols>
  <sheetData>
    <row r="1" spans="1:18" s="6" customFormat="1" ht="25.5" x14ac:dyDescent="0.2">
      <c r="A1" s="8" t="s">
        <v>0</v>
      </c>
      <c r="B1" s="8" t="s">
        <v>1</v>
      </c>
      <c r="C1" s="9" t="s">
        <v>2</v>
      </c>
      <c r="D1" s="12" t="s">
        <v>4</v>
      </c>
      <c r="E1" s="9" t="s">
        <v>11</v>
      </c>
      <c r="F1" s="9" t="s">
        <v>8</v>
      </c>
      <c r="G1" s="9" t="s">
        <v>6</v>
      </c>
      <c r="H1" s="9" t="s">
        <v>9</v>
      </c>
      <c r="I1" s="9" t="s">
        <v>10</v>
      </c>
      <c r="J1" s="10" t="s">
        <v>5</v>
      </c>
      <c r="R1" s="7"/>
    </row>
    <row r="2" spans="1:18" s="25" customFormat="1" ht="51" x14ac:dyDescent="0.2">
      <c r="A2" s="21" t="s">
        <v>12</v>
      </c>
      <c r="B2" s="21" t="s">
        <v>13</v>
      </c>
      <c r="C2" s="22" t="s">
        <v>14</v>
      </c>
      <c r="D2" s="23" t="s">
        <v>15</v>
      </c>
      <c r="E2" s="22">
        <f>IF(C2="", "", IF(D2&lt;&gt;"",LEN(D2),LEN(B2)))</f>
        <v>49</v>
      </c>
      <c r="F2" s="24" t="s">
        <v>7</v>
      </c>
      <c r="G2" s="24"/>
      <c r="H2" s="24" t="s">
        <v>3</v>
      </c>
      <c r="I2" s="24" t="s">
        <v>16</v>
      </c>
      <c r="J2" s="24"/>
    </row>
    <row r="3" spans="1:18" x14ac:dyDescent="0.2">
      <c r="A3" s="17"/>
      <c r="B3" s="17"/>
      <c r="C3" s="18"/>
      <c r="D3" s="19"/>
      <c r="E3" s="18" t="str">
        <f t="shared" ref="E3:E39" si="0">IF(C3="", "", IF(D3&lt;&gt;"",LEN(D3),LEN(B3)))</f>
        <v/>
      </c>
      <c r="F3" s="18"/>
      <c r="G3" s="20"/>
      <c r="H3" s="20"/>
      <c r="I3" s="20"/>
      <c r="J3" s="20"/>
    </row>
    <row r="4" spans="1:18" x14ac:dyDescent="0.2">
      <c r="A4" s="17"/>
      <c r="B4" s="17"/>
      <c r="C4" s="18"/>
      <c r="D4" s="19"/>
      <c r="E4" s="18" t="str">
        <f t="shared" si="0"/>
        <v/>
      </c>
      <c r="F4" s="18"/>
      <c r="G4" s="20"/>
      <c r="H4" s="20"/>
      <c r="I4" s="20"/>
      <c r="J4" s="20"/>
    </row>
    <row r="5" spans="1:18" x14ac:dyDescent="0.2">
      <c r="A5" s="26"/>
      <c r="B5" s="17"/>
      <c r="C5" s="18"/>
      <c r="D5" s="19"/>
      <c r="E5" s="18" t="str">
        <f t="shared" si="0"/>
        <v/>
      </c>
      <c r="F5" s="18"/>
      <c r="G5" s="20"/>
      <c r="H5" s="20"/>
      <c r="I5" s="20"/>
      <c r="J5" s="20"/>
    </row>
    <row r="6" spans="1:18" x14ac:dyDescent="0.2">
      <c r="A6" s="17"/>
      <c r="B6" s="17"/>
      <c r="C6" s="18"/>
      <c r="D6" s="19"/>
      <c r="E6" s="18" t="str">
        <f t="shared" si="0"/>
        <v/>
      </c>
      <c r="F6" s="27"/>
      <c r="G6" s="20"/>
      <c r="H6" s="20"/>
      <c r="I6" s="20"/>
      <c r="J6" s="20"/>
    </row>
    <row r="7" spans="1:18" x14ac:dyDescent="0.2">
      <c r="A7" s="17"/>
      <c r="B7" s="17"/>
      <c r="C7" s="18"/>
      <c r="D7" s="19"/>
      <c r="E7" s="18" t="str">
        <f t="shared" si="0"/>
        <v/>
      </c>
      <c r="F7" s="27"/>
      <c r="G7" s="20"/>
      <c r="H7" s="20"/>
      <c r="I7" s="20"/>
      <c r="J7" s="20"/>
    </row>
    <row r="8" spans="1:18" x14ac:dyDescent="0.2">
      <c r="A8" s="26"/>
      <c r="B8" s="17"/>
      <c r="C8" s="18"/>
      <c r="D8" s="19"/>
      <c r="E8" s="18" t="str">
        <f t="shared" si="0"/>
        <v/>
      </c>
      <c r="F8" s="18"/>
      <c r="G8" s="20"/>
      <c r="H8" s="20"/>
      <c r="I8" s="20"/>
      <c r="J8" s="20"/>
    </row>
    <row r="9" spans="1:18" x14ac:dyDescent="0.2">
      <c r="A9" s="26"/>
      <c r="B9" s="17"/>
      <c r="C9" s="18"/>
      <c r="D9" s="17"/>
      <c r="E9" s="18" t="str">
        <f t="shared" si="0"/>
        <v/>
      </c>
      <c r="F9" s="18"/>
      <c r="G9" s="20"/>
      <c r="H9" s="20"/>
      <c r="I9" s="20"/>
      <c r="J9" s="20"/>
    </row>
    <row r="10" spans="1:18" x14ac:dyDescent="0.2">
      <c r="A10" s="26"/>
      <c r="B10" s="17"/>
      <c r="C10" s="18"/>
      <c r="D10" s="17"/>
      <c r="E10" s="18" t="str">
        <f t="shared" si="0"/>
        <v/>
      </c>
      <c r="F10" s="18"/>
      <c r="G10" s="20"/>
      <c r="H10" s="20"/>
      <c r="I10" s="20"/>
      <c r="J10" s="20"/>
    </row>
    <row r="11" spans="1:18" x14ac:dyDescent="0.2">
      <c r="A11" s="26"/>
      <c r="B11" s="17"/>
      <c r="C11" s="18"/>
      <c r="D11" s="17"/>
      <c r="E11" s="18" t="str">
        <f t="shared" si="0"/>
        <v/>
      </c>
      <c r="F11" s="18"/>
      <c r="G11" s="20"/>
      <c r="H11" s="20"/>
      <c r="I11" s="20"/>
      <c r="J11" s="20"/>
    </row>
    <row r="12" spans="1:18" x14ac:dyDescent="0.2">
      <c r="A12" s="26"/>
      <c r="B12" s="17"/>
      <c r="C12" s="18"/>
      <c r="D12" s="17"/>
      <c r="E12" s="18" t="str">
        <f t="shared" si="0"/>
        <v/>
      </c>
      <c r="F12" s="18"/>
      <c r="G12" s="20"/>
      <c r="H12" s="20"/>
      <c r="I12" s="20"/>
      <c r="J12" s="20"/>
    </row>
    <row r="13" spans="1:18" x14ac:dyDescent="0.2">
      <c r="A13" s="26"/>
      <c r="B13" s="17"/>
      <c r="C13" s="18"/>
      <c r="D13" s="19"/>
      <c r="E13" s="18" t="str">
        <f t="shared" si="0"/>
        <v/>
      </c>
      <c r="F13" s="20"/>
      <c r="G13" s="20"/>
      <c r="H13" s="20"/>
      <c r="I13" s="28"/>
      <c r="J13" s="20"/>
    </row>
    <row r="14" spans="1:18" x14ac:dyDescent="0.2">
      <c r="A14" s="26"/>
      <c r="B14" s="17"/>
      <c r="C14" s="18"/>
      <c r="D14" s="17"/>
      <c r="E14" s="18" t="str">
        <f t="shared" si="0"/>
        <v/>
      </c>
      <c r="F14" s="20"/>
      <c r="G14" s="20"/>
      <c r="H14" s="20"/>
      <c r="I14" s="28"/>
      <c r="J14" s="20"/>
    </row>
    <row r="15" spans="1:18" x14ac:dyDescent="0.2">
      <c r="A15" s="26"/>
      <c r="B15" s="17"/>
      <c r="C15" s="18"/>
      <c r="D15" s="17"/>
      <c r="E15" s="18" t="str">
        <f t="shared" si="0"/>
        <v/>
      </c>
      <c r="F15" s="20"/>
      <c r="G15" s="20"/>
      <c r="H15" s="20"/>
      <c r="I15" s="28"/>
      <c r="J15" s="20"/>
    </row>
    <row r="16" spans="1:18" x14ac:dyDescent="0.2">
      <c r="A16" s="26"/>
      <c r="B16" s="17"/>
      <c r="C16" s="18"/>
      <c r="D16" s="17"/>
      <c r="E16" s="18" t="str">
        <f t="shared" si="0"/>
        <v/>
      </c>
      <c r="F16" s="20"/>
      <c r="G16" s="20"/>
      <c r="H16" s="20"/>
      <c r="I16" s="28"/>
      <c r="J16" s="20"/>
    </row>
    <row r="17" spans="1:13" x14ac:dyDescent="0.2">
      <c r="A17" s="26"/>
      <c r="B17" s="17"/>
      <c r="C17" s="18"/>
      <c r="D17" s="17"/>
      <c r="E17" s="18" t="str">
        <f t="shared" si="0"/>
        <v/>
      </c>
      <c r="F17" s="20"/>
      <c r="G17" s="20"/>
      <c r="H17" s="20"/>
      <c r="I17" s="28"/>
      <c r="J17" s="20"/>
    </row>
    <row r="18" spans="1:13" x14ac:dyDescent="0.2">
      <c r="A18" s="17"/>
      <c r="B18" s="26"/>
      <c r="C18" s="20"/>
      <c r="D18" s="19"/>
      <c r="E18" s="18" t="str">
        <f t="shared" si="0"/>
        <v/>
      </c>
      <c r="F18" s="18"/>
      <c r="G18" s="20"/>
      <c r="H18" s="20"/>
      <c r="I18" s="20"/>
      <c r="J18" s="20"/>
    </row>
    <row r="19" spans="1:13" x14ac:dyDescent="0.2">
      <c r="A19" s="17"/>
      <c r="B19" s="26"/>
      <c r="C19" s="20"/>
      <c r="D19" s="19"/>
      <c r="E19" s="18" t="str">
        <f t="shared" si="0"/>
        <v/>
      </c>
      <c r="F19" s="18"/>
      <c r="G19" s="20"/>
      <c r="H19" s="20"/>
      <c r="I19" s="20"/>
      <c r="J19" s="20"/>
      <c r="M19" s="2"/>
    </row>
    <row r="20" spans="1:13" x14ac:dyDescent="0.2">
      <c r="A20" s="17"/>
      <c r="B20" s="26"/>
      <c r="C20" s="20"/>
      <c r="D20" s="19"/>
      <c r="E20" s="18" t="str">
        <f t="shared" si="0"/>
        <v/>
      </c>
      <c r="F20" s="18"/>
      <c r="G20" s="20"/>
      <c r="H20" s="20"/>
      <c r="I20" s="20"/>
      <c r="J20" s="20"/>
      <c r="M20" s="2"/>
    </row>
    <row r="21" spans="1:13" x14ac:dyDescent="0.2">
      <c r="A21" s="17"/>
      <c r="B21" s="26"/>
      <c r="C21" s="20"/>
      <c r="D21" s="19"/>
      <c r="E21" s="18" t="str">
        <f t="shared" si="0"/>
        <v/>
      </c>
      <c r="F21" s="18"/>
      <c r="G21" s="20"/>
      <c r="H21" s="20"/>
      <c r="I21" s="20"/>
      <c r="J21" s="20"/>
      <c r="M21" s="2"/>
    </row>
    <row r="22" spans="1:13" x14ac:dyDescent="0.2">
      <c r="A22" s="17"/>
      <c r="B22" s="17"/>
      <c r="C22" s="18"/>
      <c r="D22" s="19"/>
      <c r="E22" s="18" t="str">
        <f t="shared" si="0"/>
        <v/>
      </c>
      <c r="F22" s="18"/>
      <c r="G22" s="20"/>
      <c r="H22" s="20"/>
      <c r="I22" s="20"/>
      <c r="J22" s="20"/>
      <c r="M22" s="2"/>
    </row>
    <row r="23" spans="1:13" x14ac:dyDescent="0.2">
      <c r="A23" s="26"/>
      <c r="B23" s="17"/>
      <c r="C23" s="18"/>
      <c r="D23" s="19"/>
      <c r="E23" s="18" t="str">
        <f t="shared" si="0"/>
        <v/>
      </c>
      <c r="F23" s="20"/>
      <c r="G23" s="20"/>
      <c r="H23" s="20"/>
      <c r="I23" s="20"/>
      <c r="J23" s="20"/>
      <c r="M23" s="2"/>
    </row>
    <row r="24" spans="1:13" x14ac:dyDescent="0.2">
      <c r="A24" s="17"/>
      <c r="B24" s="17"/>
      <c r="C24" s="18"/>
      <c r="D24" s="19"/>
      <c r="E24" s="18" t="str">
        <f t="shared" si="0"/>
        <v/>
      </c>
      <c r="F24" s="18"/>
      <c r="G24" s="20"/>
      <c r="H24" s="20"/>
      <c r="I24" s="20"/>
      <c r="J24" s="20"/>
    </row>
    <row r="25" spans="1:13" x14ac:dyDescent="0.2">
      <c r="A25" s="26"/>
      <c r="B25" s="26"/>
      <c r="C25" s="20"/>
      <c r="D25" s="26"/>
      <c r="E25" s="18" t="str">
        <f t="shared" si="0"/>
        <v/>
      </c>
      <c r="F25" s="18"/>
      <c r="G25" s="20"/>
      <c r="H25" s="20"/>
      <c r="I25" s="20"/>
      <c r="J25" s="20"/>
    </row>
    <row r="26" spans="1:13" x14ac:dyDescent="0.2">
      <c r="A26" s="17"/>
      <c r="B26" s="26"/>
      <c r="C26" s="20"/>
      <c r="D26" s="26"/>
      <c r="E26" s="18" t="str">
        <f t="shared" si="0"/>
        <v/>
      </c>
      <c r="F26" s="18"/>
      <c r="G26" s="20"/>
      <c r="H26" s="20"/>
      <c r="I26" s="20"/>
      <c r="J26" s="20"/>
    </row>
    <row r="27" spans="1:13" x14ac:dyDescent="0.2">
      <c r="A27" s="26"/>
      <c r="B27" s="26"/>
      <c r="C27" s="20"/>
      <c r="D27" s="26"/>
      <c r="E27" s="18" t="str">
        <f t="shared" si="0"/>
        <v/>
      </c>
      <c r="F27" s="18"/>
      <c r="G27" s="20"/>
      <c r="H27" s="20"/>
      <c r="I27" s="20"/>
      <c r="J27" s="20"/>
    </row>
    <row r="28" spans="1:13" x14ac:dyDescent="0.2">
      <c r="A28" s="26"/>
      <c r="B28" s="26"/>
      <c r="C28" s="20"/>
      <c r="D28" s="26"/>
      <c r="E28" s="18" t="str">
        <f t="shared" si="0"/>
        <v/>
      </c>
      <c r="F28" s="18"/>
      <c r="G28" s="20"/>
      <c r="H28" s="20"/>
      <c r="I28" s="20"/>
      <c r="J28" s="20"/>
    </row>
    <row r="29" spans="1:13" x14ac:dyDescent="0.2">
      <c r="A29" s="17"/>
      <c r="B29" s="26"/>
      <c r="C29" s="20"/>
      <c r="D29" s="26"/>
      <c r="E29" s="18" t="str">
        <f t="shared" si="0"/>
        <v/>
      </c>
      <c r="F29" s="18"/>
      <c r="G29" s="20"/>
      <c r="H29" s="20"/>
      <c r="I29" s="20"/>
      <c r="J29" s="20"/>
    </row>
    <row r="30" spans="1:13" x14ac:dyDescent="0.2">
      <c r="A30" s="17"/>
      <c r="B30" s="26"/>
      <c r="C30" s="20"/>
      <c r="D30" s="26"/>
      <c r="E30" s="18" t="str">
        <f t="shared" si="0"/>
        <v/>
      </c>
      <c r="F30" s="18"/>
      <c r="G30" s="20"/>
      <c r="H30" s="20"/>
      <c r="I30" s="20"/>
      <c r="J30" s="20"/>
    </row>
    <row r="31" spans="1:13" x14ac:dyDescent="0.2">
      <c r="A31" s="17"/>
      <c r="B31" s="26"/>
      <c r="C31" s="20"/>
      <c r="D31" s="26"/>
      <c r="E31" s="18" t="str">
        <f t="shared" si="0"/>
        <v/>
      </c>
      <c r="F31" s="18"/>
      <c r="G31" s="20"/>
      <c r="H31" s="20"/>
      <c r="I31" s="20"/>
      <c r="J31" s="20"/>
    </row>
    <row r="32" spans="1:13" x14ac:dyDescent="0.2">
      <c r="A32" s="17"/>
      <c r="B32" s="26"/>
      <c r="C32" s="20"/>
      <c r="D32" s="26"/>
      <c r="E32" s="18" t="str">
        <f t="shared" si="0"/>
        <v/>
      </c>
      <c r="F32" s="18"/>
      <c r="G32" s="20"/>
      <c r="H32" s="20"/>
      <c r="I32" s="20"/>
      <c r="J32" s="20"/>
    </row>
    <row r="33" spans="1:13" x14ac:dyDescent="0.2">
      <c r="A33" s="26"/>
      <c r="B33" s="26"/>
      <c r="C33" s="20"/>
      <c r="D33" s="26"/>
      <c r="E33" s="18" t="str">
        <f t="shared" si="0"/>
        <v/>
      </c>
      <c r="F33" s="18"/>
      <c r="G33" s="20"/>
      <c r="H33" s="20"/>
      <c r="I33" s="20"/>
      <c r="J33" s="20"/>
    </row>
    <row r="34" spans="1:13" x14ac:dyDescent="0.2">
      <c r="A34" s="17"/>
      <c r="B34" s="26"/>
      <c r="C34" s="20"/>
      <c r="D34" s="26"/>
      <c r="E34" s="18" t="str">
        <f t="shared" si="0"/>
        <v/>
      </c>
      <c r="F34" s="18"/>
      <c r="G34" s="20"/>
      <c r="H34" s="20"/>
      <c r="I34" s="20"/>
      <c r="J34" s="20"/>
    </row>
    <row r="35" spans="1:13" x14ac:dyDescent="0.2">
      <c r="A35" s="26"/>
      <c r="B35" s="26"/>
      <c r="C35" s="20"/>
      <c r="D35" s="19"/>
      <c r="E35" s="18" t="str">
        <f t="shared" si="0"/>
        <v/>
      </c>
      <c r="F35" s="18"/>
      <c r="G35" s="20"/>
      <c r="H35" s="20"/>
      <c r="I35" s="20"/>
      <c r="J35" s="20"/>
      <c r="M35" s="2"/>
    </row>
    <row r="36" spans="1:13" x14ac:dyDescent="0.2">
      <c r="A36" s="17"/>
      <c r="B36" s="17"/>
      <c r="C36" s="18"/>
      <c r="D36" s="19"/>
      <c r="E36" s="18" t="str">
        <f t="shared" si="0"/>
        <v/>
      </c>
      <c r="F36" s="27"/>
      <c r="G36" s="20"/>
      <c r="H36" s="20"/>
      <c r="I36" s="20"/>
      <c r="J36" s="20"/>
      <c r="M36" s="2"/>
    </row>
    <row r="37" spans="1:13" x14ac:dyDescent="0.2">
      <c r="A37" s="17"/>
      <c r="B37" s="17"/>
      <c r="C37" s="18"/>
      <c r="D37" s="19"/>
      <c r="E37" s="18" t="str">
        <f t="shared" si="0"/>
        <v/>
      </c>
      <c r="F37" s="27"/>
      <c r="G37" s="20"/>
      <c r="H37" s="20"/>
      <c r="I37" s="20"/>
      <c r="J37" s="20"/>
      <c r="M37" s="2"/>
    </row>
    <row r="38" spans="1:13" x14ac:dyDescent="0.2">
      <c r="A38" s="17"/>
      <c r="B38" s="17"/>
      <c r="C38" s="18"/>
      <c r="D38" s="19"/>
      <c r="E38" s="18" t="str">
        <f t="shared" si="0"/>
        <v/>
      </c>
      <c r="F38" s="27"/>
      <c r="G38" s="20"/>
      <c r="H38" s="20"/>
      <c r="I38" s="20"/>
      <c r="J38" s="20"/>
      <c r="M38" s="2"/>
    </row>
    <row r="39" spans="1:13" x14ac:dyDescent="0.2">
      <c r="A39" s="29"/>
      <c r="B39" s="29"/>
      <c r="C39" s="30"/>
      <c r="D39" s="31"/>
      <c r="E39" s="30" t="str">
        <f t="shared" si="0"/>
        <v/>
      </c>
      <c r="F39" s="30"/>
      <c r="G39" s="32"/>
      <c r="H39" s="32"/>
      <c r="I39" s="32"/>
      <c r="J39" s="30"/>
      <c r="M39" s="2"/>
    </row>
    <row r="40" spans="1:13" x14ac:dyDescent="0.2">
      <c r="M40" s="2"/>
    </row>
    <row r="41" spans="1:13" x14ac:dyDescent="0.2">
      <c r="M41" s="2"/>
    </row>
    <row r="42" spans="1:13" x14ac:dyDescent="0.2">
      <c r="M42" s="2"/>
    </row>
    <row r="43" spans="1:13" x14ac:dyDescent="0.2">
      <c r="C43" s="11"/>
      <c r="M43" s="2"/>
    </row>
    <row r="44" spans="1:13" x14ac:dyDescent="0.2">
      <c r="M44" s="2"/>
    </row>
    <row r="45" spans="1:13" x14ac:dyDescent="0.2">
      <c r="B45" s="4"/>
      <c r="M45" s="2"/>
    </row>
    <row r="46" spans="1:13" x14ac:dyDescent="0.2">
      <c r="A46" s="4"/>
      <c r="B46" s="4"/>
      <c r="M46" s="2"/>
    </row>
    <row r="47" spans="1:13" x14ac:dyDescent="0.2">
      <c r="A47" s="4"/>
      <c r="B47" s="4"/>
      <c r="M47" s="2"/>
    </row>
    <row r="48" spans="1:13" x14ac:dyDescent="0.2">
      <c r="A48" s="4"/>
      <c r="B48" s="4"/>
      <c r="M48" s="2"/>
    </row>
    <row r="49" spans="2:13" x14ac:dyDescent="0.2">
      <c r="B49" s="4"/>
      <c r="M49" s="2"/>
    </row>
    <row r="50" spans="2:13" x14ac:dyDescent="0.2">
      <c r="B50" s="4"/>
      <c r="M50" s="2"/>
    </row>
    <row r="51" spans="2:13" x14ac:dyDescent="0.2">
      <c r="B51" s="4"/>
      <c r="M51" s="2"/>
    </row>
    <row r="52" spans="2:13" x14ac:dyDescent="0.2">
      <c r="B52" s="4"/>
      <c r="M52" s="2"/>
    </row>
    <row r="53" spans="2:13" x14ac:dyDescent="0.2">
      <c r="B53" s="4"/>
      <c r="M53" s="2"/>
    </row>
    <row r="54" spans="2:13" x14ac:dyDescent="0.2">
      <c r="B54" s="4"/>
      <c r="M54" s="2"/>
    </row>
    <row r="55" spans="2:13" x14ac:dyDescent="0.2">
      <c r="B55" s="4"/>
      <c r="M55" s="2"/>
    </row>
    <row r="56" spans="2:13" x14ac:dyDescent="0.2">
      <c r="B56" s="4"/>
      <c r="M56" s="2"/>
    </row>
    <row r="57" spans="2:13" x14ac:dyDescent="0.2">
      <c r="B57" s="4"/>
      <c r="C57" s="5"/>
      <c r="D57" s="14"/>
      <c r="E57" s="16"/>
      <c r="H57" s="5"/>
      <c r="I57" s="5"/>
      <c r="M57" s="2"/>
    </row>
    <row r="58" spans="2:13" x14ac:dyDescent="0.2">
      <c r="B58" s="4"/>
      <c r="M58" s="2"/>
    </row>
    <row r="59" spans="2:13" x14ac:dyDescent="0.2">
      <c r="B59" s="4"/>
      <c r="M59" s="2"/>
    </row>
    <row r="60" spans="2:13" x14ac:dyDescent="0.2">
      <c r="B60" s="4"/>
      <c r="M60" s="2"/>
    </row>
    <row r="61" spans="2:13" x14ac:dyDescent="0.2">
      <c r="B61" s="4"/>
      <c r="M61" s="2"/>
    </row>
    <row r="62" spans="2:13" x14ac:dyDescent="0.2">
      <c r="B62" s="4"/>
      <c r="M62" s="2"/>
    </row>
    <row r="63" spans="2:13" x14ac:dyDescent="0.2">
      <c r="B63" s="4"/>
      <c r="M63" s="2"/>
    </row>
    <row r="64" spans="2:13" x14ac:dyDescent="0.2">
      <c r="B64" s="4"/>
      <c r="M64" s="2"/>
    </row>
    <row r="65" spans="2:13" x14ac:dyDescent="0.2">
      <c r="B65" s="4"/>
      <c r="M65" s="2"/>
    </row>
    <row r="66" spans="2:13" x14ac:dyDescent="0.2">
      <c r="B66" s="4"/>
      <c r="M66" s="2"/>
    </row>
    <row r="67" spans="2:13" x14ac:dyDescent="0.2">
      <c r="B67" s="4"/>
      <c r="M67" s="2"/>
    </row>
    <row r="68" spans="2:13" x14ac:dyDescent="0.2">
      <c r="B68" s="4"/>
      <c r="M68" s="2"/>
    </row>
    <row r="69" spans="2:13" x14ac:dyDescent="0.2">
      <c r="B69" s="4"/>
      <c r="M69" s="2"/>
    </row>
    <row r="70" spans="2:13" x14ac:dyDescent="0.2">
      <c r="B70" s="4"/>
      <c r="M70" s="2"/>
    </row>
    <row r="71" spans="2:13" x14ac:dyDescent="0.2">
      <c r="M71" s="2"/>
    </row>
    <row r="72" spans="2:13" x14ac:dyDescent="0.2">
      <c r="M72" s="2"/>
    </row>
    <row r="73" spans="2:13" x14ac:dyDescent="0.2">
      <c r="M73" s="2"/>
    </row>
    <row r="74" spans="2:13" x14ac:dyDescent="0.2">
      <c r="M74" s="2"/>
    </row>
    <row r="75" spans="2:13" x14ac:dyDescent="0.2">
      <c r="M75" s="2"/>
    </row>
    <row r="76" spans="2:13" x14ac:dyDescent="0.2">
      <c r="M76" s="2"/>
    </row>
    <row r="77" spans="2:13" x14ac:dyDescent="0.2">
      <c r="M77" s="2"/>
    </row>
    <row r="78" spans="2:13" x14ac:dyDescent="0.2">
      <c r="M78" s="2"/>
    </row>
    <row r="79" spans="2:13" x14ac:dyDescent="0.2">
      <c r="M79" s="2"/>
    </row>
    <row r="80" spans="2:13" x14ac:dyDescent="0.2">
      <c r="M80" s="2"/>
    </row>
    <row r="81" spans="13:13" x14ac:dyDescent="0.2">
      <c r="M81" s="2"/>
    </row>
    <row r="82" spans="13:13" x14ac:dyDescent="0.2">
      <c r="M82" s="2"/>
    </row>
    <row r="83" spans="13:13" x14ac:dyDescent="0.2">
      <c r="M83" s="2"/>
    </row>
    <row r="84" spans="13:13" x14ac:dyDescent="0.2">
      <c r="M84" s="2"/>
    </row>
    <row r="85" spans="13:13" x14ac:dyDescent="0.2">
      <c r="M85" s="3"/>
    </row>
    <row r="87" spans="13:13" x14ac:dyDescent="0.2">
      <c r="M87" s="2"/>
    </row>
  </sheetData>
  <phoneticPr fontId="28" type="noConversion"/>
  <conditionalFormatting sqref="E2:E1048576">
    <cfRule type="cellIs" dxfId="0" priority="1" operator="greaterThan">
      <formula>31</formula>
    </cfRule>
  </conditionalFormatting>
  <pageMargins left="0.75" right="0.75" top="1" bottom="1" header="0.5" footer="0.5"/>
  <pageSetup scale="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285750</xdr:colOff>
                    <xdr:row>2</xdr:row>
                    <xdr:rowOff>0</xdr:rowOff>
                  </from>
                  <to>
                    <xdr:col>13</xdr:col>
                    <xdr:colOff>361950</xdr:colOff>
                    <xdr:row>3</xdr:row>
                    <xdr:rowOff>38100</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285750</xdr:colOff>
                    <xdr:row>4</xdr:row>
                    <xdr:rowOff>28575</xdr:rowOff>
                  </from>
                  <to>
                    <xdr:col>13</xdr:col>
                    <xdr:colOff>361950</xdr:colOff>
                    <xdr:row>6</xdr:row>
                    <xdr:rowOff>38100</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285750</xdr:colOff>
                    <xdr:row>7</xdr:row>
                    <xdr:rowOff>38100</xdr:rowOff>
                  </from>
                  <to>
                    <xdr:col>13</xdr:col>
                    <xdr:colOff>361950</xdr:colOff>
                    <xdr:row>9</xdr:row>
                    <xdr:rowOff>66675</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285750</xdr:colOff>
                    <xdr:row>10</xdr:row>
                    <xdr:rowOff>66675</xdr:rowOff>
                  </from>
                  <to>
                    <xdr:col>13</xdr:col>
                    <xdr:colOff>361950</xdr:colOff>
                    <xdr:row>12</xdr:row>
                    <xdr:rowOff>66675</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295275</xdr:colOff>
                    <xdr:row>13</xdr:row>
                    <xdr:rowOff>66675</xdr:rowOff>
                  </from>
                  <to>
                    <xdr:col>13</xdr:col>
                    <xdr:colOff>371475</xdr:colOff>
                    <xdr:row>15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22</vt:i4>
      </vt:variant>
    </vt:vector>
  </HeadingPairs>
  <TitlesOfParts>
    <vt:vector size="24" baseType="lpstr">
      <vt:lpstr>Lookup Functions Tutorial</vt:lpstr>
      <vt:lpstr>Control Room</vt:lpstr>
      <vt:lpstr>'Lookup Functions Tutorial'!data</vt:lpstr>
      <vt:lpstr>'Lookup Functions Tutorial'!data_header</vt:lpstr>
      <vt:lpstr>ExtList</vt:lpstr>
      <vt:lpstr>FileList</vt:lpstr>
      <vt:lpstr>'Lookup Functions Tutorial'!FtoC_conv</vt:lpstr>
      <vt:lpstr>HideList</vt:lpstr>
      <vt:lpstr>ImportList</vt:lpstr>
      <vt:lpstr>PathList</vt:lpstr>
      <vt:lpstr>RangeNameList</vt:lpstr>
      <vt:lpstr>RenameList</vt:lpstr>
      <vt:lpstr>ReplaceList</vt:lpstr>
      <vt:lpstr>'Lookup Functions Tutorial'!SecCode1</vt:lpstr>
      <vt:lpstr>'Lookup Functions Tutorial'!SecCode1_Color</vt:lpstr>
      <vt:lpstr>'Lookup Functions Tutorial'!SecCode1_h</vt:lpstr>
      <vt:lpstr>'Lookup Functions Tutorial'!SecCode2</vt:lpstr>
      <vt:lpstr>'Lookup Functions Tutorial'!SecCode2_Color</vt:lpstr>
      <vt:lpstr>'Lookup Functions Tutorial'!SecCode2_h</vt:lpstr>
      <vt:lpstr>SheetList</vt:lpstr>
      <vt:lpstr>Technical_To_Do</vt:lpstr>
      <vt:lpstr>'Lookup Functions Tutorial'!TestData</vt:lpstr>
      <vt:lpstr>'Lookup Functions Tutorial'!TestData_header</vt:lpstr>
      <vt:lpstr>'Lookup Functions Tutorial'!TestData_ID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Mader, Nick</cp:lastModifiedBy>
  <cp:lastPrinted>2011-03-29T05:16:45Z</cp:lastPrinted>
  <dcterms:created xsi:type="dcterms:W3CDTF">2008-02-28T17:06:57Z</dcterms:created>
  <dcterms:modified xsi:type="dcterms:W3CDTF">2016-06-15T20:31:34Z</dcterms:modified>
</cp:coreProperties>
</file>